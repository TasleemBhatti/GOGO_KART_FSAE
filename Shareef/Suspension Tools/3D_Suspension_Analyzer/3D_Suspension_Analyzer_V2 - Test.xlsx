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hareef\Suspension Tools\3D_Suspension_Analyzer\"/>
    </mc:Choice>
  </mc:AlternateContent>
  <xr:revisionPtr revIDLastSave="0" documentId="13_ncr:1_{ECFC02A9-722A-4394-B6B9-645442FE515A}" xr6:coauthVersionLast="47" xr6:coauthVersionMax="47" xr10:uidLastSave="{00000000-0000-0000-0000-000000000000}"/>
  <bookViews>
    <workbookView xWindow="-23148" yWindow="4152" windowWidth="23256" windowHeight="12456" xr2:uid="{9695B30A-B9BA-4C2C-80C9-40991A052BC6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2" l="1"/>
  <c r="D24" i="2"/>
  <c r="D21" i="2"/>
  <c r="D23" i="2" s="1"/>
  <c r="D20" i="2"/>
  <c r="D22" i="2" s="1"/>
  <c r="D28" i="2" s="1"/>
  <c r="U43" i="2" l="1"/>
  <c r="U35" i="2"/>
  <c r="U27" i="2"/>
  <c r="U19" i="2"/>
  <c r="U10" i="2"/>
  <c r="V43" i="2"/>
  <c r="V35" i="2"/>
  <c r="V27" i="2"/>
  <c r="V19" i="2"/>
  <c r="V11" i="2"/>
  <c r="U36" i="2"/>
  <c r="V44" i="2"/>
  <c r="V12" i="2"/>
  <c r="U26" i="2"/>
  <c r="V42" i="2"/>
  <c r="V26" i="2"/>
  <c r="U41" i="2"/>
  <c r="U25" i="2"/>
  <c r="U17" i="2"/>
  <c r="U8" i="2"/>
  <c r="V41" i="2"/>
  <c r="V33" i="2"/>
  <c r="V25" i="2"/>
  <c r="V17" i="2"/>
  <c r="V9" i="2"/>
  <c r="U28" i="2"/>
  <c r="V36" i="2"/>
  <c r="W36" i="2" s="1"/>
  <c r="U34" i="2"/>
  <c r="U40" i="2"/>
  <c r="U32" i="2"/>
  <c r="U24" i="2"/>
  <c r="U16" i="2"/>
  <c r="U7" i="2"/>
  <c r="V40" i="2"/>
  <c r="V32" i="2"/>
  <c r="V24" i="2"/>
  <c r="V16" i="2"/>
  <c r="V8" i="2"/>
  <c r="U44" i="2"/>
  <c r="U20" i="2"/>
  <c r="V34" i="2"/>
  <c r="U39" i="2"/>
  <c r="U31" i="2"/>
  <c r="U23" i="2"/>
  <c r="U15" i="2"/>
  <c r="U6" i="2"/>
  <c r="V39" i="2"/>
  <c r="V31" i="2"/>
  <c r="V23" i="2"/>
  <c r="V15" i="2"/>
  <c r="V7" i="2"/>
  <c r="U11" i="2"/>
  <c r="V28" i="2"/>
  <c r="U42" i="2"/>
  <c r="U9" i="2"/>
  <c r="V18" i="2"/>
  <c r="U38" i="2"/>
  <c r="U30" i="2"/>
  <c r="U22" i="2"/>
  <c r="U13" i="2"/>
  <c r="U5" i="2"/>
  <c r="V38" i="2"/>
  <c r="V30" i="2"/>
  <c r="V22" i="2"/>
  <c r="V14" i="2"/>
  <c r="V6" i="2"/>
  <c r="V4" i="2"/>
  <c r="V20" i="2"/>
  <c r="U18" i="2"/>
  <c r="V10" i="2"/>
  <c r="U33" i="2"/>
  <c r="U4" i="2"/>
  <c r="U37" i="2"/>
  <c r="U29" i="2"/>
  <c r="U21" i="2"/>
  <c r="U12" i="2"/>
  <c r="U14" i="2"/>
  <c r="V37" i="2"/>
  <c r="V29" i="2"/>
  <c r="V21" i="2"/>
  <c r="V13" i="2"/>
  <c r="V5" i="2"/>
  <c r="D29" i="2"/>
  <c r="D30" i="2" s="1"/>
  <c r="D26" i="2"/>
  <c r="D27" i="2" s="1"/>
  <c r="W28" i="2" l="1"/>
  <c r="X28" i="2" s="1"/>
  <c r="W24" i="2"/>
  <c r="W44" i="2"/>
  <c r="W9" i="2"/>
  <c r="X9" i="2" s="1"/>
  <c r="W41" i="2"/>
  <c r="X41" i="2" s="1"/>
  <c r="Y41" i="2" s="1"/>
  <c r="AA41" i="2" s="1"/>
  <c r="X44" i="2"/>
  <c r="Y44" i="2" s="1"/>
  <c r="AA44" i="2" s="1"/>
  <c r="W16" i="2"/>
  <c r="X16" i="2" s="1"/>
  <c r="Y16" i="2" s="1"/>
  <c r="AA16" i="2" s="1"/>
  <c r="W20" i="2"/>
  <c r="X20" i="2" s="1"/>
  <c r="W7" i="2"/>
  <c r="X7" i="2" s="1"/>
  <c r="W32" i="2"/>
  <c r="X32" i="2" s="1"/>
  <c r="Y32" i="2" s="1"/>
  <c r="X36" i="2"/>
  <c r="Y36" i="2" s="1"/>
  <c r="W43" i="2"/>
  <c r="X43" i="2" s="1"/>
  <c r="Y43" i="2" s="1"/>
  <c r="AA43" i="2" s="1"/>
  <c r="W6" i="2"/>
  <c r="X6" i="2" s="1"/>
  <c r="X24" i="2"/>
  <c r="W12" i="2"/>
  <c r="X12" i="2" s="1"/>
  <c r="Y12" i="2" s="1"/>
  <c r="AA12" i="2" s="1"/>
  <c r="W5" i="2"/>
  <c r="X5" i="2" s="1"/>
  <c r="Y5" i="2" s="1"/>
  <c r="AB5" i="2" s="1"/>
  <c r="W23" i="2"/>
  <c r="X23" i="2" s="1"/>
  <c r="W11" i="2"/>
  <c r="X11" i="2" s="1"/>
  <c r="W15" i="2"/>
  <c r="X15" i="2" s="1"/>
  <c r="Y15" i="2" s="1"/>
  <c r="AA15" i="2" s="1"/>
  <c r="W40" i="2"/>
  <c r="X40" i="2" s="1"/>
  <c r="W13" i="2"/>
  <c r="X13" i="2" s="1"/>
  <c r="W14" i="2"/>
  <c r="X14" i="2" s="1"/>
  <c r="Y14" i="2" s="1"/>
  <c r="AA14" i="2" s="1"/>
  <c r="W34" i="2"/>
  <c r="X34" i="2" s="1"/>
  <c r="Y34" i="2" s="1"/>
  <c r="AA34" i="2" s="1"/>
  <c r="W21" i="2"/>
  <c r="X21" i="2" s="1"/>
  <c r="Y21" i="2" s="1"/>
  <c r="AA21" i="2" s="1"/>
  <c r="W4" i="2"/>
  <c r="X4" i="2" s="1"/>
  <c r="W22" i="2"/>
  <c r="X22" i="2" s="1"/>
  <c r="Y22" i="2" s="1"/>
  <c r="AB22" i="2" s="1"/>
  <c r="W18" i="2"/>
  <c r="X18" i="2" s="1"/>
  <c r="Y18" i="2" s="1"/>
  <c r="AB18" i="2" s="1"/>
  <c r="W31" i="2"/>
  <c r="X31" i="2" s="1"/>
  <c r="Y31" i="2" s="1"/>
  <c r="AA31" i="2" s="1"/>
  <c r="W17" i="2"/>
  <c r="X17" i="2" s="1"/>
  <c r="Y17" i="2" s="1"/>
  <c r="AA17" i="2" s="1"/>
  <c r="W19" i="2"/>
  <c r="X19" i="2" s="1"/>
  <c r="W29" i="2"/>
  <c r="X29" i="2" s="1"/>
  <c r="W30" i="2"/>
  <c r="X30" i="2" s="1"/>
  <c r="Y30" i="2" s="1"/>
  <c r="AB30" i="2" s="1"/>
  <c r="W39" i="2"/>
  <c r="X39" i="2" s="1"/>
  <c r="W25" i="2"/>
  <c r="X25" i="2" s="1"/>
  <c r="Y25" i="2" s="1"/>
  <c r="AA25" i="2" s="1"/>
  <c r="W26" i="2"/>
  <c r="X26" i="2" s="1"/>
  <c r="W27" i="2"/>
  <c r="X27" i="2" s="1"/>
  <c r="W37" i="2"/>
  <c r="X37" i="2" s="1"/>
  <c r="W10" i="2"/>
  <c r="X10" i="2" s="1"/>
  <c r="W38" i="2"/>
  <c r="X38" i="2" s="1"/>
  <c r="Y38" i="2" s="1"/>
  <c r="AB38" i="2" s="1"/>
  <c r="W8" i="2"/>
  <c r="X8" i="2" s="1"/>
  <c r="Y8" i="2" s="1"/>
  <c r="AB8" i="2" s="1"/>
  <c r="W33" i="2"/>
  <c r="X33" i="2" s="1"/>
  <c r="W42" i="2"/>
  <c r="X42" i="2" s="1"/>
  <c r="Y42" i="2" s="1"/>
  <c r="AB42" i="2" s="1"/>
  <c r="W35" i="2"/>
  <c r="X35" i="2" s="1"/>
  <c r="Y35" i="2" s="1"/>
  <c r="AB35" i="2" s="1"/>
  <c r="AB15" i="2"/>
  <c r="D31" i="2"/>
  <c r="AC15" i="2" l="1"/>
  <c r="T15" i="2" s="1"/>
  <c r="AB17" i="2"/>
  <c r="AC17" i="2" s="1"/>
  <c r="T17" i="2" s="1"/>
  <c r="AB25" i="2"/>
  <c r="AC25" i="2" s="1"/>
  <c r="T25" i="2" s="1"/>
  <c r="AB21" i="2"/>
  <c r="Z21" i="2" s="1"/>
  <c r="AB14" i="2"/>
  <c r="AC14" i="2" s="1"/>
  <c r="T14" i="2" s="1"/>
  <c r="Y9" i="2"/>
  <c r="AA9" i="2" s="1"/>
  <c r="AB34" i="2"/>
  <c r="Z34" i="2" s="1"/>
  <c r="AB44" i="2"/>
  <c r="AC44" i="2" s="1"/>
  <c r="T44" i="2" s="1"/>
  <c r="AB43" i="2"/>
  <c r="AC43" i="2" s="1"/>
  <c r="T43" i="2" s="1"/>
  <c r="AA32" i="2"/>
  <c r="AB32" i="2"/>
  <c r="Y20" i="2"/>
  <c r="AA20" i="2" s="1"/>
  <c r="AB31" i="2"/>
  <c r="Z31" i="2" s="1"/>
  <c r="Z15" i="2"/>
  <c r="AA35" i="2"/>
  <c r="AC35" i="2" s="1"/>
  <c r="T35" i="2" s="1"/>
  <c r="AB36" i="2"/>
  <c r="AA36" i="2"/>
  <c r="AC36" i="2" s="1"/>
  <c r="T36" i="2" s="1"/>
  <c r="Y7" i="2"/>
  <c r="AB7" i="2" s="1"/>
  <c r="AB41" i="2"/>
  <c r="Z41" i="2" s="1"/>
  <c r="AA42" i="2"/>
  <c r="AC42" i="2" s="1"/>
  <c r="T42" i="2" s="1"/>
  <c r="AB16" i="2"/>
  <c r="AC16" i="2" s="1"/>
  <c r="T16" i="2" s="1"/>
  <c r="Y28" i="2"/>
  <c r="AA28" i="2" s="1"/>
  <c r="Y4" i="2"/>
  <c r="AB4" i="2" s="1"/>
  <c r="Y40" i="2"/>
  <c r="AA40" i="2" s="1"/>
  <c r="Y24" i="2"/>
  <c r="AB24" i="2" s="1"/>
  <c r="Y26" i="2"/>
  <c r="AA26" i="2" s="1"/>
  <c r="Y13" i="2"/>
  <c r="AA13" i="2" s="1"/>
  <c r="Y33" i="2"/>
  <c r="AB33" i="2" s="1"/>
  <c r="Y29" i="2"/>
  <c r="AA29" i="2" s="1"/>
  <c r="AB12" i="2"/>
  <c r="AC12" i="2" s="1"/>
  <c r="T12" i="2" s="1"/>
  <c r="Y37" i="2"/>
  <c r="AA37" i="2" s="1"/>
  <c r="Y23" i="2"/>
  <c r="AB23" i="2" s="1"/>
  <c r="AA18" i="2"/>
  <c r="AC18" i="2" s="1"/>
  <c r="T18" i="2" s="1"/>
  <c r="Y39" i="2"/>
  <c r="AB39" i="2" s="1"/>
  <c r="AA5" i="2"/>
  <c r="AC5" i="2" s="1"/>
  <c r="T5" i="2" s="1"/>
  <c r="AA22" i="2"/>
  <c r="AC22" i="2" s="1"/>
  <c r="T22" i="2" s="1"/>
  <c r="Y10" i="2"/>
  <c r="AB10" i="2" s="1"/>
  <c r="AA8" i="2"/>
  <c r="AC8" i="2" s="1"/>
  <c r="T8" i="2" s="1"/>
  <c r="Y19" i="2"/>
  <c r="AA19" i="2" s="1"/>
  <c r="Y6" i="2"/>
  <c r="AB6" i="2" s="1"/>
  <c r="AA30" i="2"/>
  <c r="AC30" i="2" s="1"/>
  <c r="T30" i="2" s="1"/>
  <c r="AA38" i="2"/>
  <c r="AC38" i="2" s="1"/>
  <c r="T38" i="2" s="1"/>
  <c r="Y11" i="2"/>
  <c r="AA11" i="2" s="1"/>
  <c r="Y27" i="2"/>
  <c r="AA27" i="2" s="1"/>
  <c r="Z14" i="2"/>
  <c r="D33" i="2"/>
  <c r="D34" i="2"/>
  <c r="D32" i="2"/>
  <c r="AC41" i="2" l="1"/>
  <c r="T41" i="2" s="1"/>
  <c r="AC32" i="2"/>
  <c r="T32" i="2" s="1"/>
  <c r="AC34" i="2"/>
  <c r="T34" i="2" s="1"/>
  <c r="AC31" i="2"/>
  <c r="T31" i="2" s="1"/>
  <c r="AC21" i="2"/>
  <c r="T21" i="2" s="1"/>
  <c r="Z22" i="2"/>
  <c r="Z38" i="2"/>
  <c r="Z35" i="2"/>
  <c r="Z5" i="2"/>
  <c r="Z25" i="2"/>
  <c r="Z17" i="2"/>
  <c r="AB27" i="2"/>
  <c r="Z27" i="2" s="1"/>
  <c r="AB11" i="2"/>
  <c r="AC11" i="2" s="1"/>
  <c r="T11" i="2" s="1"/>
  <c r="AB19" i="2"/>
  <c r="AC19" i="2" s="1"/>
  <c r="T19" i="2" s="1"/>
  <c r="Z32" i="2"/>
  <c r="Z18" i="2"/>
  <c r="AB20" i="2"/>
  <c r="Z20" i="2" s="1"/>
  <c r="AB9" i="2"/>
  <c r="Z9" i="2" s="1"/>
  <c r="Z16" i="2"/>
  <c r="Z44" i="2"/>
  <c r="Z42" i="2"/>
  <c r="AA33" i="2"/>
  <c r="AC33" i="2" s="1"/>
  <c r="T33" i="2" s="1"/>
  <c r="AB28" i="2"/>
  <c r="Z28" i="2" s="1"/>
  <c r="Z43" i="2"/>
  <c r="AA23" i="2"/>
  <c r="AC23" i="2" s="1"/>
  <c r="T23" i="2" s="1"/>
  <c r="AB13" i="2"/>
  <c r="Z13" i="2" s="1"/>
  <c r="AA10" i="2"/>
  <c r="AC10" i="2" s="1"/>
  <c r="T10" i="2" s="1"/>
  <c r="AB37" i="2"/>
  <c r="Z37" i="2" s="1"/>
  <c r="Z36" i="2"/>
  <c r="AA4" i="2"/>
  <c r="AC4" i="2" s="1"/>
  <c r="T4" i="2" s="1"/>
  <c r="AA7" i="2"/>
  <c r="AC7" i="2" s="1"/>
  <c r="T7" i="2" s="1"/>
  <c r="AA39" i="2"/>
  <c r="AC39" i="2" s="1"/>
  <c r="T39" i="2" s="1"/>
  <c r="AA6" i="2"/>
  <c r="AC6" i="2" s="1"/>
  <c r="T6" i="2" s="1"/>
  <c r="AB29" i="2"/>
  <c r="AC29" i="2" s="1"/>
  <c r="T29" i="2" s="1"/>
  <c r="AB26" i="2"/>
  <c r="Z26" i="2" s="1"/>
  <c r="Z12" i="2"/>
  <c r="Z30" i="2"/>
  <c r="AA24" i="2"/>
  <c r="AC24" i="2" s="1"/>
  <c r="T24" i="2" s="1"/>
  <c r="Z8" i="2"/>
  <c r="AB40" i="2"/>
  <c r="Z40" i="2" s="1"/>
  <c r="D36" i="2"/>
  <c r="D37" i="2"/>
  <c r="AC37" i="2" l="1"/>
  <c r="T37" i="2" s="1"/>
  <c r="AC40" i="2"/>
  <c r="T40" i="2" s="1"/>
  <c r="AC9" i="2"/>
  <c r="T9" i="2" s="1"/>
  <c r="AC26" i="2"/>
  <c r="T26" i="2" s="1"/>
  <c r="AC28" i="2"/>
  <c r="T28" i="2" s="1"/>
  <c r="AC27" i="2"/>
  <c r="T27" i="2" s="1"/>
  <c r="AC13" i="2"/>
  <c r="T13" i="2" s="1"/>
  <c r="D43" i="2"/>
  <c r="AC20" i="2"/>
  <c r="T20" i="2" s="1"/>
  <c r="Z4" i="2"/>
  <c r="Z11" i="2"/>
  <c r="Z19" i="2"/>
  <c r="Z33" i="2"/>
  <c r="Z29" i="2"/>
  <c r="Z23" i="2"/>
  <c r="Z10" i="2"/>
  <c r="Z7" i="2"/>
  <c r="Z24" i="2"/>
  <c r="Z39" i="2"/>
  <c r="D44" i="2"/>
  <c r="D45" i="2" s="1"/>
  <c r="Z6" i="2"/>
  <c r="D42" i="2"/>
  <c r="D38" i="2"/>
  <c r="D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tc={E2B2BCA6-049C-48FE-BC62-63CF1D52D89F}</author>
    <author>tc={64601429-D9CE-448D-9EE8-D0B6F1B12AAB}</author>
  </authors>
  <commentList>
    <comment ref="C27" authorId="0" shapeId="0" xr:uid="{E2B2BCA6-049C-48FE-BC62-63CF1D52D89F}">
      <text>
        <t>[Threaded comment]
Your version of Excel allows you to read this threaded comment; however, any edits to it will get removed if the file is opened in a newer version of Excel. Learn more: https://go.microsoft.com/fwlink/?linkid=870924
Comment:
    66.155mm dZ in CAD using measure tool point to point
Reply:
    Rounding error in inventor?? We’re close enough</t>
      </text>
    </comment>
    <comment ref="C30" authorId="1" shapeId="0" xr:uid="{64601429-D9CE-448D-9EE8-D0B6F1B12AAB}">
      <text>
        <t>[Threaded comment]
Your version of Excel allows you to read this threaded comment; however, any edits to it will get removed if the file is opened in a newer version of Excel. Learn more: https://go.microsoft.com/fwlink/?linkid=870924
Comment:
    LOP is pinned by two rigid links. Drawing 2 circles, one centered at the lower inboard pickup and one at the upper outboard pivot with a radius equal to the length of each respective link means the circles will intersect at the point the links meet (LOP). 
Reply:
    The 2 circles cross in 2 points, each one is a valid solution for the intersection of the lower arm line and the upright line for any given pair of lengths. 
Reply:
    Each intersection point can be defined by 2 values, the position along the line drawn between the centers of each circle (a_chord) and the distance away from it (h_chord).
Reply:
    The chord joining the two intersections is perpendicular to the center line and meets the center line at one point “M”</t>
      </text>
    </comment>
  </commentList>
</comments>
</file>

<file path=xl/sharedStrings.xml><?xml version="1.0" encoding="utf-8"?>
<sst xmlns="http://schemas.openxmlformats.org/spreadsheetml/2006/main" count="135" uniqueCount="92">
  <si>
    <t>Value</t>
  </si>
  <si>
    <t>deg</t>
  </si>
  <si>
    <t>Unit</t>
  </si>
  <si>
    <t>Parameter Name</t>
  </si>
  <si>
    <t>Geometry Inputs</t>
  </si>
  <si>
    <t>Description</t>
  </si>
  <si>
    <t>Calculated Intermediate Values</t>
  </si>
  <si>
    <t>Caluclated Final Values</t>
  </si>
  <si>
    <t>Y_U</t>
  </si>
  <si>
    <t>Z_U</t>
  </si>
  <si>
    <t>Y_L</t>
  </si>
  <si>
    <t>Z_L</t>
  </si>
  <si>
    <t>r_U</t>
  </si>
  <si>
    <t>r_L</t>
  </si>
  <si>
    <t>X_UOP</t>
  </si>
  <si>
    <t>X_LOP</t>
  </si>
  <si>
    <t>L_u</t>
  </si>
  <si>
    <t>X_uf</t>
  </si>
  <si>
    <t>X_lf</t>
  </si>
  <si>
    <t>X_ur</t>
  </si>
  <si>
    <t>X_lr</t>
  </si>
  <si>
    <t>mm</t>
  </si>
  <si>
    <t>Upper inboard pickup axis lateral position (from origin)</t>
  </si>
  <si>
    <t>Upper inboard pickup axis vertical position (from origin)</t>
  </si>
  <si>
    <t>Lower inboard pickup axis lateral position (from origin)</t>
  </si>
  <si>
    <t>Lower inboard pickup axis vertical position (from origin)</t>
  </si>
  <si>
    <t>dX</t>
  </si>
  <si>
    <t>theta_U0</t>
  </si>
  <si>
    <t>theta_L0</t>
  </si>
  <si>
    <t>d_yz</t>
  </si>
  <si>
    <t>L_U</t>
  </si>
  <si>
    <t>Upper arm member length</t>
  </si>
  <si>
    <t>L_L</t>
  </si>
  <si>
    <t>Lower arm member length</t>
  </si>
  <si>
    <t>Upright length (linear distance between upper and lower outboard rod end centers)</t>
  </si>
  <si>
    <t>Upper arm angle from horizontal at ride height on flat ground</t>
  </si>
  <si>
    <t>Longitudinal position of the upper front pickup (from origin)</t>
  </si>
  <si>
    <t>Longitudinal position of the upper rear pickup (from origin)</t>
  </si>
  <si>
    <t>Longitudinal position of the lower front pickup (from origin)</t>
  </si>
  <si>
    <t>Longitudinal position of the lower rear pickup (from origin)</t>
  </si>
  <si>
    <t>base_U</t>
  </si>
  <si>
    <t>longitudinal spacing between the 2 upper inboard pickup points</t>
  </si>
  <si>
    <t>longitudinal spacing between the 2 lower inboard pickup points</t>
  </si>
  <si>
    <t>base_L</t>
  </si>
  <si>
    <t>upper arm swing radius</t>
  </si>
  <si>
    <t>lower arm swing radius</t>
  </si>
  <si>
    <t>logitudinal position of the upper outboard pivot on the upright</t>
  </si>
  <si>
    <t>logitudinal position of the lower outboard pivot on the upright</t>
  </si>
  <si>
    <t>longitudinal distance between upper and lower outboard pivots</t>
  </si>
  <si>
    <t>Upright height from front view</t>
  </si>
  <si>
    <t>UOP_y</t>
  </si>
  <si>
    <t>lateral position of upper outboard pivot at current upper arm angle</t>
  </si>
  <si>
    <t>UOP_z</t>
  </si>
  <si>
    <t>vertical position of upper outboard pivot at current upper arm angle</t>
  </si>
  <si>
    <t>D_centers</t>
  </si>
  <si>
    <t>Distance between centers of circles drawn at lower inboard and upper outboard points</t>
  </si>
  <si>
    <t>a_chord</t>
  </si>
  <si>
    <t>distance from center of circle at lower inboard to the line between the intersection points of both circles</t>
  </si>
  <si>
    <t>h_chord</t>
  </si>
  <si>
    <t>perpendicular distance from a_chord to the 2 possible intersection points of the lower arm and upright</t>
  </si>
  <si>
    <t>M_y</t>
  </si>
  <si>
    <t>lateral position of the intersection between a_chord and h_chord</t>
  </si>
  <si>
    <t>M_z</t>
  </si>
  <si>
    <t>vertical position of the intersection between a_chord and h_chord</t>
  </si>
  <si>
    <t xml:space="preserve">branch </t>
  </si>
  <si>
    <t>const</t>
  </si>
  <si>
    <t>since the cirles intersect at 2 separate points, we need this value to choose which one is the real life suspension position that doesn't require the arms crossing over</t>
  </si>
  <si>
    <t>LOP_y</t>
  </si>
  <si>
    <t>LOP_z</t>
  </si>
  <si>
    <t>lateral position of the lower outboard pivot</t>
  </si>
  <si>
    <t>vertical position of the lower outboard pivot</t>
  </si>
  <si>
    <t>angle between lower arm and horizontal</t>
  </si>
  <si>
    <t>caster</t>
  </si>
  <si>
    <t>side view angle of the steering axis from vertical</t>
  </si>
  <si>
    <t>KPI</t>
  </si>
  <si>
    <t>(Kingpin inclination) front view angle between the steering axis and horizontal</t>
  </si>
  <si>
    <t>IC_y</t>
  </si>
  <si>
    <t>IC_det</t>
  </si>
  <si>
    <t>IC_z</t>
  </si>
  <si>
    <t>determinant of the two arm direction vectors (0 when the arms are parallel and increasesd when they diverege)</t>
  </si>
  <si>
    <t>horizontal position of the instant center</t>
  </si>
  <si>
    <t>vertical position of the instant center</t>
  </si>
  <si>
    <t>Suspension Pivot Hardpoints (Inputs)</t>
  </si>
  <si>
    <t>Upper Arm Angle</t>
  </si>
  <si>
    <t>UOP_Y</t>
  </si>
  <si>
    <t>UOP_Z</t>
  </si>
  <si>
    <t>Kinpin Inclination</t>
  </si>
  <si>
    <t>Lower Outboard Pivot Vertical Position</t>
  </si>
  <si>
    <t>Lower Outboard Pivot Horizontal Position</t>
  </si>
  <si>
    <t>Lower Arm Angle to Horizontal</t>
  </si>
  <si>
    <t>Camber Angle</t>
  </si>
  <si>
    <t>Camber-KPI Offset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</si>
</sst>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65891984709724E-2"/>
          <c:y val="8.8791519388762577E-2"/>
          <c:w val="0.92483827039276922"/>
          <c:h val="0.8121174999817466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'Sheet 1'!$S$4:$S$44</c:f>
              <c:numCache>
                <c:formatCode>General</c:formatCode>
                <c:ptCount val="4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-1</c:v>
                </c:pt>
                <c:pt idx="22">
                  <c:v>-2</c:v>
                </c:pt>
                <c:pt idx="23">
                  <c:v>-3</c:v>
                </c:pt>
                <c:pt idx="24">
                  <c:v>-4</c:v>
                </c:pt>
                <c:pt idx="25">
                  <c:v>-5</c:v>
                </c:pt>
                <c:pt idx="26">
                  <c:v>-6</c:v>
                </c:pt>
                <c:pt idx="27">
                  <c:v>-7</c:v>
                </c:pt>
                <c:pt idx="28">
                  <c:v>-8</c:v>
                </c:pt>
                <c:pt idx="29">
                  <c:v>-9</c:v>
                </c:pt>
                <c:pt idx="30">
                  <c:v>-10</c:v>
                </c:pt>
                <c:pt idx="31">
                  <c:v>-11</c:v>
                </c:pt>
                <c:pt idx="32">
                  <c:v>-12</c:v>
                </c:pt>
                <c:pt idx="33">
                  <c:v>-13</c:v>
                </c:pt>
                <c:pt idx="34">
                  <c:v>-14</c:v>
                </c:pt>
                <c:pt idx="35">
                  <c:v>-15</c:v>
                </c:pt>
                <c:pt idx="36">
                  <c:v>-16</c:v>
                </c:pt>
                <c:pt idx="37">
                  <c:v>-17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</c:numCache>
            </c:numRef>
          </c:xVal>
          <c:yVal>
            <c:numRef>
              <c:f>'Sheet 1'!$T$4:$T$44</c:f>
              <c:numCache>
                <c:formatCode>0.0</c:formatCode>
                <c:ptCount val="41"/>
                <c:pt idx="0">
                  <c:v>-2.0883551089184444</c:v>
                </c:pt>
                <c:pt idx="1">
                  <c:v>-2.5763506707456134</c:v>
                </c:pt>
                <c:pt idx="2">
                  <c:v>-3.0638600295437848</c:v>
                </c:pt>
                <c:pt idx="3">
                  <c:v>-3.5509636816380783</c:v>
                </c:pt>
                <c:pt idx="4">
                  <c:v>-4.0377436717552353</c:v>
                </c:pt>
                <c:pt idx="5">
                  <c:v>-4.5242836376833493</c:v>
                </c:pt>
                <c:pt idx="6">
                  <c:v>-5.0106688580265724</c:v>
                </c:pt>
                <c:pt idx="7">
                  <c:v>-5.4969863031953548</c:v>
                </c:pt>
                <c:pt idx="8">
                  <c:v>-5.9833246897785246</c:v>
                </c:pt>
                <c:pt idx="9">
                  <c:v>-6.4697745384524143</c:v>
                </c:pt>
                <c:pt idx="10">
                  <c:v>-6.9564282355886098</c:v>
                </c:pt>
                <c:pt idx="11">
                  <c:v>-7.4433800987328516</c:v>
                </c:pt>
                <c:pt idx="12">
                  <c:v>-7.9307264461353046</c:v>
                </c:pt>
                <c:pt idx="13">
                  <c:v>-8.4185656705234386</c:v>
                </c:pt>
                <c:pt idx="14">
                  <c:v>-8.906998317320193</c:v>
                </c:pt>
                <c:pt idx="15">
                  <c:v>-9.3961271675208771</c:v>
                </c:pt>
                <c:pt idx="16">
                  <c:v>-9.8860573254560595</c:v>
                </c:pt>
                <c:pt idx="17">
                  <c:v>-10.376896311680971</c:v>
                </c:pt>
                <c:pt idx="18">
                  <c:v>-10.868754161246352</c:v>
                </c:pt>
                <c:pt idx="19">
                  <c:v>-11.361743527622336</c:v>
                </c:pt>
                <c:pt idx="20">
                  <c:v>-11.85597979256281</c:v>
                </c:pt>
                <c:pt idx="21">
                  <c:v>-12.35158118221694</c:v>
                </c:pt>
                <c:pt idx="22">
                  <c:v>-12.848668889813315</c:v>
                </c:pt>
                <c:pt idx="23">
                  <c:v>-13.347367205263314</c:v>
                </c:pt>
                <c:pt idx="24">
                  <c:v>-13.847803652052725</c:v>
                </c:pt>
                <c:pt idx="25">
                  <c:v>-14.350109131814541</c:v>
                </c:pt>
                <c:pt idx="26">
                  <c:v>-14.854418077001696</c:v>
                </c:pt>
                <c:pt idx="27">
                  <c:v>-15.360868612105893</c:v>
                </c:pt>
                <c:pt idx="28">
                  <c:v>-15.86960272389795</c:v>
                </c:pt>
                <c:pt idx="29">
                  <c:v>-16.380766441197441</c:v>
                </c:pt>
                <c:pt idx="30">
                  <c:v>-16.894510024712048</c:v>
                </c:pt>
                <c:pt idx="31">
                  <c:v>-17.410988167524188</c:v>
                </c:pt>
                <c:pt idx="32">
                  <c:v>-17.930360206840753</c:v>
                </c:pt>
                <c:pt idx="33">
                  <c:v>-18.452790347663029</c:v>
                </c:pt>
                <c:pt idx="34">
                  <c:v>-18.978447899078734</c:v>
                </c:pt>
                <c:pt idx="35">
                  <c:v>-19.507507523925312</c:v>
                </c:pt>
                <c:pt idx="36">
                  <c:v>-20.040149502623613</c:v>
                </c:pt>
                <c:pt idx="37">
                  <c:v>-20.576560012036865</c:v>
                </c:pt>
                <c:pt idx="38">
                  <c:v>-21.116931420266063</c:v>
                </c:pt>
                <c:pt idx="39">
                  <c:v>-21.661462598356255</c:v>
                </c:pt>
                <c:pt idx="40">
                  <c:v>-22.21035924995325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E-4A11-8307-CE1C994BB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97951"/>
        <c:axId val="90105631"/>
      </c:scatterChart>
      <c:valAx>
        <c:axId val="9009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Upper Arm Angle (degrees)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5631"/>
        <c:crosses val="autoZero"/>
        <c:crossBetween val="midCat"/>
      </c:valAx>
      <c:valAx>
        <c:axId val="901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Camber</a:t>
                </a:r>
                <a:r>
                  <a:rPr lang="en-US" baseline="0"/>
                  <a:t> </a:t>
                </a:r>
                <a:r>
                  <a:rPr lang="en-US"/>
                  <a:t> Angle (degrees)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7951"/>
        <c:crossesAt val="-2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157415</xdr:colOff>
      <xdr:row>49</xdr:row>
      <xdr:rowOff>106188</xdr:rowOff>
    </xdr:from>
    <xdr:to>
      <xdr:col>5</xdr:col>
      <xdr:colOff>6997196</xdr:colOff>
      <xdr:row>79</xdr:row>
      <xdr:rowOff>35960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62C64-29B3-E228-DF5B-C72214E9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533" y="9440688"/>
          <a:ext cx="9353484" cy="5644772"/>
        </a:xfrm>
        <a:prstGeom prst="rect">
          <a:avLst/>
        </a:prstGeom>
      </xdr:spPr>
    </xdr:pic>
    <xdr:clientData/>
  </xdr:twoCellAnchor>
  <xdr:twoCellAnchor editAs="oneCell">
    <xdr:from>
      <xdr:col>5</xdr:col>
      <xdr:colOff>7967383</xdr:colOff>
      <xdr:row>53</xdr:row>
      <xdr:rowOff>100852</xdr:rowOff>
    </xdr:from>
    <xdr:to>
      <xdr:col>10</xdr:col>
      <xdr:colOff>102669</xdr:colOff>
      <xdr:row>71</xdr:row>
      <xdr:rowOff>140409</xdr:rowOff>
    </xdr:to>
    <xdr:pic>
      <xdr:nvPicPr>
        <xdr:cNvPr id="3" name="Picture 2" descr="How to Write the Equation of a Circle">
          <a:extLst>
            <a:ext uri="{FF2B5EF4-FFF2-40B4-BE49-F238E27FC236}">
              <a16:creationId xmlns:a16="http://schemas.microsoft.com/office/drawing/2014/main" id="{13A0E66B-CE0F-9A21-0218-3C44170B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3824" y="10656793"/>
          <a:ext cx="5861745" cy="3462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817094</xdr:colOff>
      <xdr:row>4</xdr:row>
      <xdr:rowOff>189565</xdr:rowOff>
    </xdr:from>
    <xdr:to>
      <xdr:col>17</xdr:col>
      <xdr:colOff>0</xdr:colOff>
      <xdr:row>39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D022B8-4166-C718-B151-C41446493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0.34106</cdr:x>
      <cdr:y>0.01818</cdr:y>
    </cdr:from>
    <cdr:to>
      <cdr:x>0.69369</cdr:x>
      <cdr:y>0.08545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7B2599A-9D74-EEC6-5082-92381C217DAE}"/>
            </a:ext>
          </a:extLst>
        </cdr:cNvPr>
        <cdr:cNvSpPr txBox="1"/>
      </cdr:nvSpPr>
      <cdr:spPr>
        <a:xfrm xmlns:a="http://schemas.openxmlformats.org/drawingml/2006/main">
          <a:off x="2969560" y="112062"/>
          <a:ext cx="3070412" cy="4146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 kern="1200">
              <a:solidFill>
                <a:schemeClr val="bg2"/>
              </a:solidFill>
            </a:rPr>
            <a:t>Camber</a:t>
          </a:r>
          <a:r>
            <a:rPr lang="en-US" sz="2000" kern="1200" baseline="0">
              <a:solidFill>
                <a:schemeClr val="bg2"/>
              </a:solidFill>
            </a:rPr>
            <a:t> vs Upper Arm Angle</a:t>
          </a:r>
        </a:p>
        <a:p xmlns:a="http://schemas.openxmlformats.org/drawingml/2006/main">
          <a:endParaRPr lang="en-US" sz="1100" kern="1200">
            <a:solidFill>
              <a:schemeClr val="bg2"/>
            </a:solidFill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Shareef Sayeed" id="{4765540D-6CB2-4BDD-BE7D-C7D9F9E62C98}" userId="S::sss94512@uga.edu::438c3efc-07b6-4b82-8a6c-fbcecdd1e3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" dT="2026-06-04T19:32:09.57" personId="{4765540D-6CB2-4BDD-BE7D-C7D9F9E62C98}" id="{E2B2BCA6-049C-48FE-BC62-63CF1D52D89F}">
    <text>66.155mm dZ in CAD using measure tool point to point</text>
  </threadedComment>
  <threadedComment ref="C27" dT="2026-06-04T19:34:44.27" personId="{4765540D-6CB2-4BDD-BE7D-C7D9F9E62C98}" id="{EFCF8898-55B7-4633-B0B0-94BDA1DE6F5D}" parentId="{E2B2BCA6-049C-48FE-BC62-63CF1D52D89F}">
    <text>Rounding error in inventor?? We’re close enough</text>
  </threadedComment>
  <threadedComment ref="C30" dT="2026-06-06T23:18:52.43" personId="{4765540D-6CB2-4BDD-BE7D-C7D9F9E62C98}" id="{64601429-D9CE-448D-9EE8-D0B6F1B12AAB}">
    <text xml:space="preserve">LOP is pinned by two rigid links. Drawing 2 circles, one centered at the lower inboard pickup and one at the upper outboard pivot with a radius equal to the length of each respective link means the circles will intersect at the point the links meet (LOP). </text>
  </threadedComment>
  <threadedComment ref="C30" dT="2026-06-06T23:21:50.05" personId="{4765540D-6CB2-4BDD-BE7D-C7D9F9E62C98}" id="{DCDD606E-06FD-432D-8034-556ACE538BAA}" parentId="{64601429-D9CE-448D-9EE8-D0B6F1B12AAB}">
    <text xml:space="preserve">The 2 circles cross in 2 points, each one is a valid solution for the intersection of the lower arm line and the upright line for any given pair of lengths. </text>
  </threadedComment>
  <threadedComment ref="C30" dT="2026-06-06T23:35:02.69" personId="{4765540D-6CB2-4BDD-BE7D-C7D9F9E62C98}" id="{24C03F8C-0DDB-4862-8AD6-A20A51373771}" parentId="{64601429-D9CE-448D-9EE8-D0B6F1B12AAB}">
    <text>Each intersection point can be defined by 2 values, the position along the line drawn between the centers of each circle (a_chord) and the distance away from it (h_chord).</text>
  </threadedComment>
  <threadedComment ref="C30" dT="2026-06-06T23:35:58.82" personId="{4765540D-6CB2-4BDD-BE7D-C7D9F9E62C98}" id="{1DAB703D-290E-441B-B27F-6642BD7B2058}" parentId="{64601429-D9CE-448D-9EE8-D0B6F1B12AAB}">
    <text>The chord joining the two intersections is perpendicular to the center line and meets the center line at one point “M”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EDE4-CF63-4BE7-9597-216ED5BF300E}">
  <dimension ref="C3:AC46"/>
  <sheetViews>
    <sheetView tabSelected="1" zoomScaleNormal="100" workbookViewId="0">
      <selection activeCell="D43" sqref="D43"/>
    </sheetView>
  </sheetViews>
  <sheetFormatPr defaultRowHeight="14.4" x14ac:dyDescent="0.3"/>
  <cols>
    <col min="3" max="3" width="14.88671875" bestFit="1" customWidth="1"/>
    <col min="4" max="4" width="8.33203125" bestFit="1" customWidth="1"/>
    <col min="5" max="5" width="5.6640625" bestFit="1" customWidth="1"/>
    <col min="6" max="6" width="159" bestFit="1" customWidth="1"/>
    <col min="7" max="7" width="13.44140625" customWidth="1"/>
    <col min="8" max="8" width="15.6640625" customWidth="1"/>
    <col min="9" max="9" width="10.6640625" customWidth="1"/>
    <col min="10" max="11" width="6.6640625" bestFit="1" customWidth="1"/>
    <col min="12" max="12" width="9.44140625" customWidth="1"/>
    <col min="13" max="13" width="8.109375" customWidth="1"/>
    <col min="14" max="14" width="8.109375" bestFit="1" customWidth="1"/>
    <col min="15" max="15" width="19" customWidth="1"/>
    <col min="16" max="16" width="22.88671875" customWidth="1"/>
    <col min="19" max="19" width="18.6640625" bestFit="1" customWidth="1"/>
    <col min="20" max="20" width="15.5546875" bestFit="1" customWidth="1"/>
    <col min="21" max="21" width="9.109375" customWidth="1"/>
    <col min="22" max="22" width="9" bestFit="1" customWidth="1"/>
    <col min="23" max="23" width="11.88671875" bestFit="1" customWidth="1"/>
    <col min="24" max="25" width="9.44140625" bestFit="1" customWidth="1"/>
    <col min="26" max="26" width="32.33203125" bestFit="1" customWidth="1"/>
    <col min="27" max="27" width="43.44140625" bestFit="1" customWidth="1"/>
    <col min="28" max="28" width="41.109375" bestFit="1" customWidth="1"/>
    <col min="29" max="29" width="18.44140625" bestFit="1" customWidth="1"/>
  </cols>
  <sheetData>
    <row r="3" spans="3:29" x14ac:dyDescent="0.3">
      <c r="C3" s="11" t="s">
        <v>82</v>
      </c>
      <c r="D3" s="11"/>
      <c r="E3" s="11"/>
      <c r="F3" s="11"/>
      <c r="H3" s="16" t="s">
        <v>91</v>
      </c>
      <c r="I3" s="15"/>
      <c r="J3" s="15"/>
      <c r="K3" s="15"/>
      <c r="L3" s="15"/>
      <c r="M3" s="15"/>
      <c r="N3" s="15"/>
      <c r="O3" s="15"/>
      <c r="P3" s="15"/>
      <c r="S3" s="7" t="s">
        <v>83</v>
      </c>
      <c r="T3" s="7" t="s">
        <v>90</v>
      </c>
      <c r="U3" s="7" t="s">
        <v>84</v>
      </c>
      <c r="V3" s="7" t="s">
        <v>85</v>
      </c>
      <c r="W3" s="7" t="s">
        <v>54</v>
      </c>
      <c r="X3" s="7" t="s">
        <v>56</v>
      </c>
      <c r="Y3" s="7" t="s">
        <v>58</v>
      </c>
      <c r="Z3" s="7" t="s">
        <v>89</v>
      </c>
      <c r="AA3" s="7" t="s">
        <v>88</v>
      </c>
      <c r="AB3" s="7" t="s">
        <v>87</v>
      </c>
      <c r="AC3" s="7" t="s">
        <v>86</v>
      </c>
    </row>
    <row r="4" spans="3:29" ht="15" x14ac:dyDescent="0.35">
      <c r="C4" s="2" t="s">
        <v>4</v>
      </c>
      <c r="D4" s="2" t="s">
        <v>0</v>
      </c>
      <c r="E4" s="2" t="s">
        <v>2</v>
      </c>
      <c r="F4" s="2" t="s">
        <v>5</v>
      </c>
      <c r="H4" s="17">
        <v>0</v>
      </c>
      <c r="I4" s="18"/>
      <c r="J4" s="18"/>
      <c r="K4" s="18"/>
      <c r="L4" s="18"/>
      <c r="M4" s="18"/>
      <c r="N4" s="18"/>
      <c r="O4" s="18"/>
      <c r="P4" s="18"/>
      <c r="S4" s="6">
        <v>20</v>
      </c>
      <c r="T4" s="8">
        <f>AC4-H4</f>
        <v>-2.0883551089184444</v>
      </c>
      <c r="U4" s="9">
        <f t="shared" ref="U4:U44" si="0">$D$5+$D$22*COS(RADIANS(S4))</f>
        <v>202.93816910511799</v>
      </c>
      <c r="V4" s="9">
        <f t="shared" ref="V4:V44" si="1">$D$6+$D$22*SIN(RADIANS(S4))</f>
        <v>137.46642952412375</v>
      </c>
      <c r="W4" s="9">
        <f>SQRT((U4-$D$7)^2+(V4-$D$8)^2)</f>
        <v>163.28755891855951</v>
      </c>
      <c r="X4" s="9">
        <f>($D$23^2-$D$27^2+W4^2)/(2*W4)</f>
        <v>61.434034014766787</v>
      </c>
      <c r="Y4" s="10">
        <f>SQRT($D$23^2-X4^2)</f>
        <v>108.28600770493146</v>
      </c>
      <c r="Z4" s="9">
        <f>DEGREES(ATAN2(AA4-$D$7,AB4-$D$8))</f>
        <v>-19.274066118437965</v>
      </c>
      <c r="AA4" s="9">
        <f>$D$7+X4*(U4-$D$7)/W4-$D$35*Y4*(V4-$D$8)/W4</f>
        <v>197.52088404701223</v>
      </c>
      <c r="AB4" s="9">
        <f>$D$8+X4*(V4-$D$8)/W4+$D$35*Y4*(U4-$D$7)/W4</f>
        <v>-11.095520592988095</v>
      </c>
      <c r="AC4" s="8">
        <f>-DEGREES(ATAN((U4-AA4)/(V4-AB4)))</f>
        <v>-2.0883551089184444</v>
      </c>
    </row>
    <row r="5" spans="3:29" ht="15" x14ac:dyDescent="0.35">
      <c r="C5" s="2" t="s">
        <v>8</v>
      </c>
      <c r="D5" s="2">
        <v>100</v>
      </c>
      <c r="E5" s="2" t="s">
        <v>21</v>
      </c>
      <c r="F5" s="2" t="s">
        <v>22</v>
      </c>
      <c r="S5" s="6">
        <v>19</v>
      </c>
      <c r="T5" s="8">
        <f>AC5-H4</f>
        <v>-2.5763506707456134</v>
      </c>
      <c r="U5" s="9">
        <f t="shared" si="0"/>
        <v>203.5763704791799</v>
      </c>
      <c r="V5" s="9">
        <f t="shared" si="1"/>
        <v>135.66420444030217</v>
      </c>
      <c r="W5" s="9">
        <f t="shared" ref="W5:W44" si="2">SQRT((U5-$D$7)^2+(V5-$D$8)^2)</f>
        <v>162.59164628236439</v>
      </c>
      <c r="X5" s="9">
        <f t="shared" ref="X5:X44" si="3">($D$23^2-$D$27^2+W5^2)/(2*W5)</f>
        <v>60.999577451726154</v>
      </c>
      <c r="Y5" s="10">
        <f t="shared" ref="Y5:Y44" si="4">SQRT($D$23^2-X5^2)</f>
        <v>108.53133902569738</v>
      </c>
      <c r="Z5" s="9">
        <f t="shared" ref="Z5:Z44" si="5">DEGREES(ATAN2(AA5-$D$7,AB5-$D$8))</f>
        <v>-20.129862661025609</v>
      </c>
      <c r="AA5" s="9">
        <f t="shared" ref="AA5:AA44" si="6">$D$7+X5*(U5-$D$7)/W5-$D$35*Y5*(V5-$D$8)/W5</f>
        <v>196.89397587027489</v>
      </c>
      <c r="AB5" s="9">
        <f t="shared" ref="AB5:AB44" si="7">$D$8+X5*(V5-$D$8)/W5+$D$35*Y5*(U5-$D$7)/W5</f>
        <v>-12.846218097278935</v>
      </c>
      <c r="AC5" s="8">
        <f t="shared" ref="AC5:AC44" si="8">-DEGREES(ATAN((U5-AA5)/(V5-AB5)))</f>
        <v>-2.5763506707456134</v>
      </c>
    </row>
    <row r="6" spans="3:29" ht="15" x14ac:dyDescent="0.35">
      <c r="C6" s="2" t="s">
        <v>9</v>
      </c>
      <c r="D6" s="2">
        <v>100</v>
      </c>
      <c r="E6" s="2" t="s">
        <v>21</v>
      </c>
      <c r="F6" s="2" t="s">
        <v>23</v>
      </c>
      <c r="S6" s="6">
        <v>18</v>
      </c>
      <c r="T6" s="8">
        <f>AC6-H4</f>
        <v>-3.0638600295437848</v>
      </c>
      <c r="U6" s="9">
        <f t="shared" si="0"/>
        <v>204.18302148742703</v>
      </c>
      <c r="V6" s="9">
        <f t="shared" si="1"/>
        <v>133.85111569432115</v>
      </c>
      <c r="W6" s="9">
        <f t="shared" si="2"/>
        <v>161.88414702095457</v>
      </c>
      <c r="X6" s="9">
        <f t="shared" si="3"/>
        <v>60.557125010406786</v>
      </c>
      <c r="Y6" s="10">
        <f t="shared" si="4"/>
        <v>108.77883346715005</v>
      </c>
      <c r="Z6" s="9">
        <f t="shared" si="5"/>
        <v>-20.990448702449068</v>
      </c>
      <c r="AA6" s="9">
        <f t="shared" si="6"/>
        <v>196.23726178350708</v>
      </c>
      <c r="AB6" s="9">
        <f t="shared" si="7"/>
        <v>-14.597073593145609</v>
      </c>
      <c r="AC6" s="8">
        <f t="shared" si="8"/>
        <v>-3.0638600295437848</v>
      </c>
    </row>
    <row r="7" spans="3:29" ht="15" x14ac:dyDescent="0.35">
      <c r="C7" s="2" t="s">
        <v>10</v>
      </c>
      <c r="D7" s="2">
        <v>80</v>
      </c>
      <c r="E7" s="2" t="s">
        <v>21</v>
      </c>
      <c r="F7" s="2" t="s">
        <v>24</v>
      </c>
      <c r="S7" s="6">
        <v>17</v>
      </c>
      <c r="T7" s="8">
        <f>AC7-H4</f>
        <v>-3.5509636816380783</v>
      </c>
      <c r="U7" s="9">
        <f t="shared" si="0"/>
        <v>204.75793733808553</v>
      </c>
      <c r="V7" s="9">
        <f t="shared" si="1"/>
        <v>132.02771557057653</v>
      </c>
      <c r="W7" s="9">
        <f t="shared" si="2"/>
        <v>161.16512548750779</v>
      </c>
      <c r="X7" s="9">
        <f t="shared" si="3"/>
        <v>60.106668904948251</v>
      </c>
      <c r="Y7" s="10">
        <f t="shared" si="4"/>
        <v>109.02838324560686</v>
      </c>
      <c r="Z7" s="9">
        <f t="shared" si="5"/>
        <v>-21.855839679194951</v>
      </c>
      <c r="AA7" s="9">
        <f t="shared" si="6"/>
        <v>195.55043841783657</v>
      </c>
      <c r="AB7" s="9">
        <f t="shared" si="7"/>
        <v>-16.347558527345925</v>
      </c>
      <c r="AC7" s="8">
        <f t="shared" si="8"/>
        <v>-3.5509636816380783</v>
      </c>
    </row>
    <row r="8" spans="3:29" ht="15" x14ac:dyDescent="0.35">
      <c r="C8" s="2" t="s">
        <v>11</v>
      </c>
      <c r="D8" s="2">
        <v>30</v>
      </c>
      <c r="E8" s="2" t="s">
        <v>21</v>
      </c>
      <c r="F8" s="2" t="s">
        <v>25</v>
      </c>
      <c r="S8" s="6">
        <v>16</v>
      </c>
      <c r="T8" s="8">
        <f>AC8-H4</f>
        <v>-4.0377436717552353</v>
      </c>
      <c r="U8" s="9">
        <f t="shared" si="0"/>
        <v>205.30094290621787</v>
      </c>
      <c r="V8" s="9">
        <f t="shared" si="1"/>
        <v>130.19455949440965</v>
      </c>
      <c r="W8" s="9">
        <f t="shared" si="2"/>
        <v>160.43464727254542</v>
      </c>
      <c r="X8" s="9">
        <f t="shared" si="3"/>
        <v>59.648200593953923</v>
      </c>
      <c r="Y8" s="10">
        <f t="shared" si="4"/>
        <v>109.27987996837952</v>
      </c>
      <c r="Z8" s="9">
        <f t="shared" si="5"/>
        <v>-22.726052448670984</v>
      </c>
      <c r="AA8" s="9">
        <f t="shared" si="6"/>
        <v>194.83320794677309</v>
      </c>
      <c r="AB8" s="9">
        <f t="shared" si="7"/>
        <v>-18.097134557613444</v>
      </c>
      <c r="AC8" s="8">
        <f t="shared" si="8"/>
        <v>-4.0377436717552353</v>
      </c>
    </row>
    <row r="9" spans="3:29" ht="15" x14ac:dyDescent="0.35">
      <c r="C9" s="2" t="s">
        <v>30</v>
      </c>
      <c r="D9" s="2">
        <v>170</v>
      </c>
      <c r="E9" s="2" t="s">
        <v>21</v>
      </c>
      <c r="F9" s="2" t="s">
        <v>31</v>
      </c>
      <c r="S9" s="6">
        <v>15</v>
      </c>
      <c r="T9" s="8">
        <f>AC9-H4</f>
        <v>-4.5242836376833493</v>
      </c>
      <c r="U9" s="9">
        <f t="shared" si="0"/>
        <v>205.81187278706787</v>
      </c>
      <c r="V9" s="9">
        <f t="shared" si="1"/>
        <v>128.35220586291953</v>
      </c>
      <c r="W9" s="9">
        <f t="shared" si="2"/>
        <v>159.69277921149549</v>
      </c>
      <c r="X9" s="9">
        <f t="shared" si="3"/>
        <v>59.181710737396948</v>
      </c>
      <c r="Y9" s="10">
        <f t="shared" si="4"/>
        <v>109.53321466201508</v>
      </c>
      <c r="Z9" s="9">
        <f t="shared" si="5"/>
        <v>-23.601105360796655</v>
      </c>
      <c r="AA9" s="9">
        <f t="shared" si="6"/>
        <v>194.08527818124935</v>
      </c>
      <c r="AB9" s="9">
        <f t="shared" si="7"/>
        <v>-19.845253558457856</v>
      </c>
      <c r="AC9" s="8">
        <f t="shared" si="8"/>
        <v>-4.5242836376833493</v>
      </c>
    </row>
    <row r="10" spans="3:29" ht="15" x14ac:dyDescent="0.35">
      <c r="C10" s="2" t="s">
        <v>32</v>
      </c>
      <c r="D10" s="2">
        <v>180</v>
      </c>
      <c r="E10" s="2" t="s">
        <v>21</v>
      </c>
      <c r="F10" s="2" t="s">
        <v>33</v>
      </c>
      <c r="S10" s="6">
        <v>14</v>
      </c>
      <c r="T10" s="8">
        <f>AC10-H4</f>
        <v>-5.0106688580265724</v>
      </c>
      <c r="U10" s="9">
        <f t="shared" si="0"/>
        <v>206.29057134644427</v>
      </c>
      <c r="V10" s="9">
        <f t="shared" si="1"/>
        <v>126.50121587486956</v>
      </c>
      <c r="W10" s="9">
        <f t="shared" si="2"/>
        <v>158.93958939276112</v>
      </c>
      <c r="X10" s="9">
        <f t="shared" si="3"/>
        <v>58.707189151671024</v>
      </c>
      <c r="Y10" s="10">
        <f t="shared" si="4"/>
        <v>109.78827779826916</v>
      </c>
      <c r="Z10" s="9">
        <f t="shared" si="5"/>
        <v>-24.481018331530898</v>
      </c>
      <c r="AA10" s="9">
        <f t="shared" si="6"/>
        <v>193.3063626579964</v>
      </c>
      <c r="AB10" s="9">
        <f t="shared" si="7"/>
        <v>-21.591357621355556</v>
      </c>
      <c r="AC10" s="8">
        <f t="shared" si="8"/>
        <v>-5.0106688580265724</v>
      </c>
    </row>
    <row r="11" spans="3:29" ht="15" x14ac:dyDescent="0.35">
      <c r="C11" s="2" t="s">
        <v>16</v>
      </c>
      <c r="D11" s="2">
        <v>150</v>
      </c>
      <c r="E11" s="2" t="s">
        <v>21</v>
      </c>
      <c r="F11" s="2" t="s">
        <v>34</v>
      </c>
      <c r="S11" s="6">
        <v>13</v>
      </c>
      <c r="T11" s="8">
        <f>AC11-H4</f>
        <v>-5.4969863031953548</v>
      </c>
      <c r="U11" s="9">
        <f t="shared" si="0"/>
        <v>206.73689276812871</v>
      </c>
      <c r="V11" s="9">
        <f t="shared" si="1"/>
        <v>124.64215335974107</v>
      </c>
      <c r="W11" s="9">
        <f t="shared" si="2"/>
        <v>158.17514716632604</v>
      </c>
      <c r="X11" s="9">
        <f t="shared" si="3"/>
        <v>58.224624762701687</v>
      </c>
      <c r="Y11" s="10">
        <f t="shared" si="4"/>
        <v>110.04495931773789</v>
      </c>
      <c r="Z11" s="9">
        <f t="shared" si="5"/>
        <v>-25.365812918463863</v>
      </c>
      <c r="AA11" s="9">
        <f t="shared" si="6"/>
        <v>192.49618072123445</v>
      </c>
      <c r="AB11" s="9">
        <f t="shared" si="7"/>
        <v>-23.334879048661563</v>
      </c>
      <c r="AC11" s="8">
        <f t="shared" si="8"/>
        <v>-5.4969863031953548</v>
      </c>
    </row>
    <row r="12" spans="3:29" ht="15" x14ac:dyDescent="0.35">
      <c r="C12" s="2" t="s">
        <v>17</v>
      </c>
      <c r="D12" s="2">
        <v>50</v>
      </c>
      <c r="E12" s="2" t="s">
        <v>21</v>
      </c>
      <c r="F12" s="2" t="s">
        <v>36</v>
      </c>
      <c r="S12" s="6">
        <v>12</v>
      </c>
      <c r="T12" s="8">
        <f>AC12-H4</f>
        <v>-5.9833246897785246</v>
      </c>
      <c r="U12" s="9">
        <f t="shared" si="0"/>
        <v>207.15070109829242</v>
      </c>
      <c r="V12" s="9">
        <f t="shared" si="1"/>
        <v>122.7755846059853</v>
      </c>
      <c r="W12" s="9">
        <f t="shared" si="2"/>
        <v>157.39952315292965</v>
      </c>
      <c r="X12" s="9">
        <f t="shared" si="3"/>
        <v>57.734005557028127</v>
      </c>
      <c r="Y12" s="10">
        <f t="shared" si="4"/>
        <v>110.30314865107454</v>
      </c>
      <c r="Z12" s="9">
        <f t="shared" si="5"/>
        <v>-26.255512398608399</v>
      </c>
      <c r="AA12" s="9">
        <f t="shared" si="6"/>
        <v>191.65445759767584</v>
      </c>
      <c r="AB12" s="9">
        <f t="shared" si="7"/>
        <v>-25.075240340545193</v>
      </c>
      <c r="AC12" s="8">
        <f t="shared" si="8"/>
        <v>-5.9833246897785246</v>
      </c>
    </row>
    <row r="13" spans="3:29" ht="15" x14ac:dyDescent="0.35">
      <c r="C13" s="2" t="s">
        <v>19</v>
      </c>
      <c r="D13" s="2">
        <v>310</v>
      </c>
      <c r="E13" s="2" t="s">
        <v>21</v>
      </c>
      <c r="F13" s="2" t="s">
        <v>37</v>
      </c>
      <c r="S13" s="6">
        <v>11</v>
      </c>
      <c r="T13" s="8">
        <f>AC13-H4</f>
        <v>-6.4697745384524143</v>
      </c>
      <c r="U13" s="9">
        <f t="shared" si="0"/>
        <v>207.53187028690948</v>
      </c>
      <c r="V13" s="9">
        <f t="shared" si="1"/>
        <v>120.9020781885265</v>
      </c>
      <c r="W13" s="9">
        <f t="shared" si="2"/>
        <v>156.61278925384764</v>
      </c>
      <c r="X13" s="9">
        <f t="shared" si="3"/>
        <v>57.235318530761859</v>
      </c>
      <c r="Y13" s="10">
        <f t="shared" si="4"/>
        <v>110.56273473771454</v>
      </c>
      <c r="Z13" s="9">
        <f t="shared" si="5"/>
        <v>-27.150141848536283</v>
      </c>
      <c r="AA13" s="9">
        <f t="shared" si="6"/>
        <v>190.78092446485093</v>
      </c>
      <c r="AB13" s="9">
        <f t="shared" si="7"/>
        <v>-26.811854174221374</v>
      </c>
      <c r="AC13" s="8">
        <f t="shared" si="8"/>
        <v>-6.4697745384524143</v>
      </c>
    </row>
    <row r="14" spans="3:29" ht="15" x14ac:dyDescent="0.35">
      <c r="C14" s="2" t="s">
        <v>18</v>
      </c>
      <c r="D14" s="2">
        <v>30</v>
      </c>
      <c r="E14" s="2" t="s">
        <v>21</v>
      </c>
      <c r="F14" s="2" t="s">
        <v>38</v>
      </c>
      <c r="S14" s="6">
        <v>10</v>
      </c>
      <c r="T14" s="8">
        <f>AC14-H4</f>
        <v>-6.9564282355886098</v>
      </c>
      <c r="U14" s="9">
        <f t="shared" si="0"/>
        <v>207.88028422615253</v>
      </c>
      <c r="V14" s="9">
        <f t="shared" si="1"/>
        <v>119.02220479556851</v>
      </c>
      <c r="W14" s="9">
        <f t="shared" si="2"/>
        <v>155.81501866131421</v>
      </c>
      <c r="X14" s="9">
        <f t="shared" si="3"/>
        <v>56.728549636322299</v>
      </c>
      <c r="Y14" s="10">
        <f t="shared" si="4"/>
        <v>110.82360604203113</v>
      </c>
      <c r="Z14" s="9">
        <f t="shared" si="5"/>
        <v>-28.049728227013613</v>
      </c>
      <c r="AA14" s="9">
        <f t="shared" si="6"/>
        <v>189.87531851278473</v>
      </c>
      <c r="AB14" s="9">
        <f t="shared" si="7"/>
        <v>-28.544123374717174</v>
      </c>
      <c r="AC14" s="8">
        <f t="shared" si="8"/>
        <v>-6.9564282355886098</v>
      </c>
    </row>
    <row r="15" spans="3:29" ht="15" x14ac:dyDescent="0.35">
      <c r="C15" s="2" t="s">
        <v>20</v>
      </c>
      <c r="D15" s="2">
        <v>290</v>
      </c>
      <c r="E15" s="2" t="s">
        <v>21</v>
      </c>
      <c r="F15" s="2" t="s">
        <v>39</v>
      </c>
      <c r="S15" s="6">
        <v>9</v>
      </c>
      <c r="T15" s="8">
        <f>AC15-H4</f>
        <v>-7.4433800987328516</v>
      </c>
      <c r="U15" s="9">
        <f t="shared" si="0"/>
        <v>208.19583678576049</v>
      </c>
      <c r="V15" s="9">
        <f t="shared" si="1"/>
        <v>117.13653705475755</v>
      </c>
      <c r="W15" s="9">
        <f t="shared" si="2"/>
        <v>155.00628586962685</v>
      </c>
      <c r="X15" s="9">
        <f t="shared" si="3"/>
        <v>56.21368372684573</v>
      </c>
      <c r="Y15" s="10">
        <f t="shared" si="4"/>
        <v>111.08565056684036</v>
      </c>
      <c r="Z15" s="9">
        <f t="shared" si="5"/>
        <v>-28.954300460299994</v>
      </c>
      <c r="AA15" s="9">
        <f t="shared" si="6"/>
        <v>188.93738299906704</v>
      </c>
      <c r="AB15" s="9">
        <f t="shared" si="7"/>
        <v>-30.271440876376793</v>
      </c>
      <c r="AC15" s="8">
        <f t="shared" si="8"/>
        <v>-7.4433800987328516</v>
      </c>
    </row>
    <row r="16" spans="3:29" ht="15" x14ac:dyDescent="0.35">
      <c r="C16" s="2" t="s">
        <v>27</v>
      </c>
      <c r="D16" s="2">
        <v>0</v>
      </c>
      <c r="E16" s="2" t="s">
        <v>1</v>
      </c>
      <c r="F16" s="2" t="s">
        <v>35</v>
      </c>
      <c r="S16" s="6">
        <v>8</v>
      </c>
      <c r="T16" s="8">
        <f>AC16-H4</f>
        <v>-7.9307264461353046</v>
      </c>
      <c r="U16" s="9">
        <f t="shared" si="0"/>
        <v>208.47843184536691</v>
      </c>
      <c r="V16" s="9">
        <f t="shared" si="1"/>
        <v>115.24564935875435</v>
      </c>
      <c r="W16" s="9">
        <f t="shared" si="2"/>
        <v>154.18666668697489</v>
      </c>
      <c r="X16" s="9">
        <f t="shared" si="3"/>
        <v>55.690704498157004</v>
      </c>
      <c r="Y16" s="10">
        <f t="shared" si="4"/>
        <v>111.34875586417189</v>
      </c>
      <c r="Z16" s="9">
        <f t="shared" si="5"/>
        <v>-29.863889530287</v>
      </c>
      <c r="AA16" s="9">
        <f t="shared" si="6"/>
        <v>187.966867297378</v>
      </c>
      <c r="AB16" s="9">
        <f t="shared" si="7"/>
        <v>-31.993189674272784</v>
      </c>
      <c r="AC16" s="8">
        <f t="shared" si="8"/>
        <v>-7.9307264461353046</v>
      </c>
    </row>
    <row r="17" spans="3:29" ht="15" x14ac:dyDescent="0.35">
      <c r="S17" s="6">
        <v>7</v>
      </c>
      <c r="T17" s="8">
        <f>AC17-H4</f>
        <v>-8.4185656705234386</v>
      </c>
      <c r="U17" s="9">
        <f t="shared" si="0"/>
        <v>208.72798332377909</v>
      </c>
      <c r="V17" s="9">
        <f t="shared" si="1"/>
        <v>113.35011769026855</v>
      </c>
      <c r="W17" s="9">
        <f t="shared" si="2"/>
        <v>153.35623824803724</v>
      </c>
      <c r="X17" s="9">
        <f t="shared" si="3"/>
        <v>55.159594428188484</v>
      </c>
      <c r="Y17" s="10">
        <f t="shared" si="4"/>
        <v>111.61280904321761</v>
      </c>
      <c r="Z17" s="9">
        <f t="shared" si="5"/>
        <v>-30.778528565662146</v>
      </c>
      <c r="AA17" s="9">
        <f t="shared" si="6"/>
        <v>186.96352693954964</v>
      </c>
      <c r="AB17" s="9">
        <f t="shared" si="7"/>
        <v>-33.70874276464923</v>
      </c>
      <c r="AC17" s="8">
        <f t="shared" si="8"/>
        <v>-8.4185656705234386</v>
      </c>
    </row>
    <row r="18" spans="3:29" ht="15" x14ac:dyDescent="0.35">
      <c r="C18" s="12" t="s">
        <v>6</v>
      </c>
      <c r="D18" s="13"/>
      <c r="E18" s="13"/>
      <c r="F18" s="14"/>
      <c r="S18" s="6">
        <v>6</v>
      </c>
      <c r="T18" s="8">
        <f>AC18-H4</f>
        <v>-8.906998317320193</v>
      </c>
      <c r="U18" s="9">
        <f t="shared" si="0"/>
        <v>208.94441520519916</v>
      </c>
      <c r="V18" s="9">
        <f t="shared" si="1"/>
        <v>111.45051944660879</v>
      </c>
      <c r="W18" s="9">
        <f t="shared" si="2"/>
        <v>152.51507902739715</v>
      </c>
      <c r="X18" s="9">
        <f t="shared" si="3"/>
        <v>54.620334713724652</v>
      </c>
      <c r="Y18" s="10">
        <f t="shared" si="4"/>
        <v>111.87769677536576</v>
      </c>
      <c r="Z18" s="9">
        <f t="shared" si="5"/>
        <v>-31.698252936296722</v>
      </c>
      <c r="AA18" s="9">
        <f t="shared" si="6"/>
        <v>185.92712365126266</v>
      </c>
      <c r="AB18" s="9">
        <f t="shared" si="7"/>
        <v>-35.417463073479901</v>
      </c>
      <c r="AC18" s="8">
        <f t="shared" si="8"/>
        <v>-8.906998317320193</v>
      </c>
    </row>
    <row r="19" spans="3:29" ht="15" x14ac:dyDescent="0.35">
      <c r="C19" s="2" t="s">
        <v>3</v>
      </c>
      <c r="D19" s="2" t="s">
        <v>0</v>
      </c>
      <c r="E19" s="2" t="s">
        <v>2</v>
      </c>
      <c r="F19" s="2" t="s">
        <v>5</v>
      </c>
      <c r="S19" s="6">
        <v>5</v>
      </c>
      <c r="T19" s="8">
        <f>AC19-H4</f>
        <v>-9.3961271675208771</v>
      </c>
      <c r="U19" s="9">
        <f t="shared" si="0"/>
        <v>209.12766156237956</v>
      </c>
      <c r="V19" s="9">
        <f t="shared" si="1"/>
        <v>109.54743326380193</v>
      </c>
      <c r="W19" s="9">
        <f t="shared" si="2"/>
        <v>151.66326885382452</v>
      </c>
      <c r="X19" s="9">
        <f t="shared" si="3"/>
        <v>54.072905204343591</v>
      </c>
      <c r="Y19" s="10">
        <f t="shared" si="4"/>
        <v>112.14330529622386</v>
      </c>
      <c r="Z19" s="9">
        <f t="shared" si="5"/>
        <v>-32.623100351068516</v>
      </c>
      <c r="AA19" s="9">
        <f t="shared" si="6"/>
        <v>184.85742538150242</v>
      </c>
      <c r="AB19" s="9">
        <f t="shared" si="7"/>
        <v>-37.118703372179709</v>
      </c>
      <c r="AC19" s="8">
        <f t="shared" si="8"/>
        <v>-9.3961271675208771</v>
      </c>
    </row>
    <row r="20" spans="3:29" ht="15" x14ac:dyDescent="0.35">
      <c r="C20" s="2" t="s">
        <v>40</v>
      </c>
      <c r="D20" s="2">
        <f>D13-D12</f>
        <v>260</v>
      </c>
      <c r="E20" s="2" t="s">
        <v>21</v>
      </c>
      <c r="F20" s="2" t="s">
        <v>41</v>
      </c>
      <c r="S20" s="6">
        <v>4</v>
      </c>
      <c r="T20" s="8">
        <f>AC20-H4</f>
        <v>-9.8860573254560595</v>
      </c>
      <c r="U20" s="9">
        <f t="shared" si="0"/>
        <v>209.2776665767046</v>
      </c>
      <c r="V20" s="9">
        <f t="shared" si="1"/>
        <v>107.64143884033486</v>
      </c>
      <c r="W20" s="9">
        <f t="shared" si="2"/>
        <v>150.80088892548036</v>
      </c>
      <c r="X20" s="9">
        <f t="shared" si="3"/>
        <v>53.517284333420754</v>
      </c>
      <c r="Y20" s="10">
        <f t="shared" si="4"/>
        <v>112.40952040452711</v>
      </c>
      <c r="Z20" s="9">
        <f t="shared" si="5"/>
        <v>-33.553110959342888</v>
      </c>
      <c r="AA20" s="9">
        <f t="shared" si="6"/>
        <v>183.75420632591798</v>
      </c>
      <c r="AB20" s="9">
        <f t="shared" si="7"/>
        <v>-38.811806179454692</v>
      </c>
      <c r="AC20" s="8">
        <f t="shared" si="8"/>
        <v>-9.8860573254560595</v>
      </c>
    </row>
    <row r="21" spans="3:29" ht="15" x14ac:dyDescent="0.35">
      <c r="C21" s="2" t="s">
        <v>43</v>
      </c>
      <c r="D21" s="2">
        <f>D15-D14</f>
        <v>260</v>
      </c>
      <c r="E21" s="2" t="s">
        <v>21</v>
      </c>
      <c r="F21" s="2" t="s">
        <v>42</v>
      </c>
      <c r="S21" s="6">
        <v>3</v>
      </c>
      <c r="T21" s="8">
        <f>AC21-H4</f>
        <v>-10.376896311680971</v>
      </c>
      <c r="U21" s="9">
        <f t="shared" si="0"/>
        <v>209.39438455519388</v>
      </c>
      <c r="V21" s="9">
        <f t="shared" si="1"/>
        <v>105.73311676057273</v>
      </c>
      <c r="W21" s="9">
        <f t="shared" si="2"/>
        <v>149.9280218261014</v>
      </c>
      <c r="X21" s="9">
        <f t="shared" si="3"/>
        <v>52.95344904605291</v>
      </c>
      <c r="Y21" s="10">
        <f t="shared" si="4"/>
        <v>112.67622745782306</v>
      </c>
      <c r="Z21" s="9">
        <f t="shared" si="5"/>
        <v>-34.488327456350319</v>
      </c>
      <c r="AA21" s="9">
        <f t="shared" si="6"/>
        <v>182.61724694425698</v>
      </c>
      <c r="AB21" s="9">
        <f t="shared" si="7"/>
        <v>-40.496103648225699</v>
      </c>
      <c r="AC21" s="8">
        <f t="shared" si="8"/>
        <v>-10.376896311680971</v>
      </c>
    </row>
    <row r="22" spans="3:29" ht="15" x14ac:dyDescent="0.35">
      <c r="C22" s="2" t="s">
        <v>12</v>
      </c>
      <c r="D22" s="2">
        <f>SQRT((D9^2)-(D20/2)^2)</f>
        <v>109.54451150103323</v>
      </c>
      <c r="E22" s="2" t="s">
        <v>21</v>
      </c>
      <c r="F22" s="2" t="s">
        <v>44</v>
      </c>
      <c r="S22" s="6">
        <v>2</v>
      </c>
      <c r="T22" s="8">
        <f>AC22-H4</f>
        <v>-10.868754161246352</v>
      </c>
      <c r="U22" s="9">
        <f t="shared" si="0"/>
        <v>209.47777994442043</v>
      </c>
      <c r="V22" s="9">
        <f t="shared" si="1"/>
        <v>103.82304831790739</v>
      </c>
      <c r="W22" s="9">
        <f t="shared" si="2"/>
        <v>149.0447515422259</v>
      </c>
      <c r="X22" s="9">
        <f t="shared" si="3"/>
        <v>52.381374723752508</v>
      </c>
      <c r="Y22" s="10">
        <f t="shared" si="4"/>
        <v>112.94331136481621</v>
      </c>
      <c r="Z22" s="9">
        <f t="shared" si="5"/>
        <v>-35.428795192712997</v>
      </c>
      <c r="AA22" s="9">
        <f t="shared" si="6"/>
        <v>181.44633397207468</v>
      </c>
      <c r="AB22" s="9">
        <f t="shared" si="7"/>
        <v>-42.170917436501327</v>
      </c>
      <c r="AC22" s="8">
        <f t="shared" si="8"/>
        <v>-10.868754161246352</v>
      </c>
    </row>
    <row r="23" spans="3:29" ht="15" x14ac:dyDescent="0.35">
      <c r="C23" s="2" t="s">
        <v>13</v>
      </c>
      <c r="D23" s="2">
        <f>SQRT((D10^2)-(D21/2)^2)</f>
        <v>124.49899597988733</v>
      </c>
      <c r="E23" s="2" t="s">
        <v>21</v>
      </c>
      <c r="F23" s="2" t="s">
        <v>45</v>
      </c>
      <c r="S23" s="6">
        <v>1</v>
      </c>
      <c r="T23" s="8">
        <f>AC23-H4</f>
        <v>-11.361743527622336</v>
      </c>
      <c r="U23" s="9">
        <f t="shared" si="0"/>
        <v>209.52782734134087</v>
      </c>
      <c r="V23" s="9">
        <f t="shared" si="1"/>
        <v>101.91181533768972</v>
      </c>
      <c r="W23" s="9">
        <f t="shared" si="2"/>
        <v>148.15116348152719</v>
      </c>
      <c r="X23" s="9">
        <f t="shared" si="3"/>
        <v>51.801035105755403</v>
      </c>
      <c r="Y23" s="10">
        <f t="shared" si="4"/>
        <v>113.21065657424789</v>
      </c>
      <c r="Z23" s="9">
        <f t="shared" si="5"/>
        <v>-36.37456228838866</v>
      </c>
      <c r="AA23" s="9">
        <f t="shared" si="6"/>
        <v>180.24126042694687</v>
      </c>
      <c r="AB23" s="9">
        <f t="shared" si="7"/>
        <v>-43.835558561014629</v>
      </c>
      <c r="AC23" s="8">
        <f t="shared" si="8"/>
        <v>-11.361743527622336</v>
      </c>
    </row>
    <row r="24" spans="3:29" ht="15" x14ac:dyDescent="0.35">
      <c r="C24" s="2" t="s">
        <v>14</v>
      </c>
      <c r="D24" s="2">
        <f>(D12+D13)/2</f>
        <v>180</v>
      </c>
      <c r="E24" s="2" t="s">
        <v>21</v>
      </c>
      <c r="F24" s="2" t="s">
        <v>46</v>
      </c>
      <c r="S24" s="6">
        <v>0</v>
      </c>
      <c r="T24" s="8">
        <f>AC24-H4</f>
        <v>-11.85597979256281</v>
      </c>
      <c r="U24" s="9">
        <f t="shared" si="0"/>
        <v>209.54451150103324</v>
      </c>
      <c r="V24" s="9">
        <f t="shared" si="1"/>
        <v>100</v>
      </c>
      <c r="W24" s="9">
        <f t="shared" si="2"/>
        <v>147.24734449232466</v>
      </c>
      <c r="X24" s="9">
        <f t="shared" si="3"/>
        <v>51.212402206776225</v>
      </c>
      <c r="Y24" s="10">
        <f t="shared" si="4"/>
        <v>113.47814706017799</v>
      </c>
      <c r="Z24" s="9">
        <f t="shared" si="5"/>
        <v>-37.325679751316315</v>
      </c>
      <c r="AA24" s="9">
        <f t="shared" si="6"/>
        <v>179.00182560944992</v>
      </c>
      <c r="AB24" s="9">
        <f t="shared" si="7"/>
        <v>-45.489327232371515</v>
      </c>
      <c r="AC24" s="8">
        <f t="shared" si="8"/>
        <v>-11.85597979256281</v>
      </c>
    </row>
    <row r="25" spans="3:29" ht="15" x14ac:dyDescent="0.35">
      <c r="C25" s="2" t="s">
        <v>15</v>
      </c>
      <c r="D25" s="2">
        <f>(D14+D15)/2</f>
        <v>160</v>
      </c>
      <c r="E25" s="2" t="s">
        <v>21</v>
      </c>
      <c r="F25" s="2" t="s">
        <v>47</v>
      </c>
      <c r="S25" s="6">
        <v>-1</v>
      </c>
      <c r="T25" s="8">
        <f>AC25-H4</f>
        <v>-12.35158118221694</v>
      </c>
      <c r="U25" s="9">
        <f t="shared" si="0"/>
        <v>209.52782734134087</v>
      </c>
      <c r="V25" s="9">
        <f t="shared" si="1"/>
        <v>98.088184662310283</v>
      </c>
      <c r="W25" s="9">
        <f t="shared" si="2"/>
        <v>146.3333828843476</v>
      </c>
      <c r="X25" s="9">
        <f t="shared" si="3"/>
        <v>50.615446231037623</v>
      </c>
      <c r="Y25" s="10">
        <f t="shared" si="4"/>
        <v>113.74566630352534</v>
      </c>
      <c r="Z25" s="9">
        <f t="shared" si="5"/>
        <v>-38.28220160106634</v>
      </c>
      <c r="AA25" s="9">
        <f t="shared" si="6"/>
        <v>177.72783509920754</v>
      </c>
      <c r="AB25" s="9">
        <f t="shared" si="7"/>
        <v>-47.131512670387181</v>
      </c>
      <c r="AC25" s="8">
        <f t="shared" si="8"/>
        <v>-12.35158118221694</v>
      </c>
    </row>
    <row r="26" spans="3:29" ht="15" x14ac:dyDescent="0.35">
      <c r="C26" s="2" t="s">
        <v>26</v>
      </c>
      <c r="D26" s="2">
        <f>D24-D25</f>
        <v>20</v>
      </c>
      <c r="E26" s="2" t="s">
        <v>21</v>
      </c>
      <c r="F26" s="2" t="s">
        <v>48</v>
      </c>
      <c r="S26" s="6">
        <v>-2</v>
      </c>
      <c r="T26" s="8">
        <f>AC26-H4</f>
        <v>-12.848668889813315</v>
      </c>
      <c r="U26" s="9">
        <f t="shared" si="0"/>
        <v>209.47777994442043</v>
      </c>
      <c r="V26" s="9">
        <f t="shared" si="1"/>
        <v>96.176951682092607</v>
      </c>
      <c r="W26" s="9">
        <f t="shared" si="2"/>
        <v>145.40936845083186</v>
      </c>
      <c r="X26" s="9">
        <f t="shared" si="3"/>
        <v>50.010135482390147</v>
      </c>
      <c r="Y26" s="10">
        <f t="shared" si="4"/>
        <v>114.01309726971276</v>
      </c>
      <c r="Z26" s="9">
        <f t="shared" si="5"/>
        <v>-39.244184997816227</v>
      </c>
      <c r="AA26" s="9">
        <f t="shared" si="6"/>
        <v>176.41910074634438</v>
      </c>
      <c r="AB26" s="9">
        <f t="shared" si="7"/>
        <v>-48.761392898210566</v>
      </c>
      <c r="AC26" s="8">
        <f t="shared" si="8"/>
        <v>-12.848668889813315</v>
      </c>
    </row>
    <row r="27" spans="3:29" ht="15" x14ac:dyDescent="0.35">
      <c r="C27" s="2" t="s">
        <v>29</v>
      </c>
      <c r="D27" s="2">
        <f>SQRT((D11^2)-(D26^2))</f>
        <v>148.66068747318505</v>
      </c>
      <c r="E27" s="2" t="s">
        <v>21</v>
      </c>
      <c r="F27" s="2" t="s">
        <v>49</v>
      </c>
      <c r="G27" s="3"/>
      <c r="S27" s="6">
        <v>-3</v>
      </c>
      <c r="T27" s="8">
        <f>AC27-H4</f>
        <v>-13.347367205263314</v>
      </c>
      <c r="U27" s="9">
        <f t="shared" si="0"/>
        <v>209.39438455519388</v>
      </c>
      <c r="V27" s="9">
        <f t="shared" si="1"/>
        <v>94.266883239427273</v>
      </c>
      <c r="W27" s="9">
        <f t="shared" si="2"/>
        <v>144.47539249203504</v>
      </c>
      <c r="X27" s="9">
        <f t="shared" si="3"/>
        <v>49.396436270330447</v>
      </c>
      <c r="Y27" s="10">
        <f t="shared" si="4"/>
        <v>114.28032238225084</v>
      </c>
      <c r="Z27" s="9">
        <f t="shared" si="5"/>
        <v>-40.211690376992443</v>
      </c>
      <c r="AA27" s="9">
        <f t="shared" si="6"/>
        <v>175.07544065873196</v>
      </c>
      <c r="AB27" s="9">
        <f t="shared" si="7"/>
        <v>-50.378234513753391</v>
      </c>
      <c r="AC27" s="8">
        <f t="shared" si="8"/>
        <v>-13.347367205263314</v>
      </c>
    </row>
    <row r="28" spans="3:29" ht="15" x14ac:dyDescent="0.35">
      <c r="C28" s="2" t="s">
        <v>50</v>
      </c>
      <c r="D28" s="2">
        <f>D5+D22*COS(RADIANS(D16))</f>
        <v>209.54451150103324</v>
      </c>
      <c r="E28" s="2" t="s">
        <v>21</v>
      </c>
      <c r="F28" s="2" t="s">
        <v>51</v>
      </c>
      <c r="S28" s="6">
        <v>-4</v>
      </c>
      <c r="T28" s="8">
        <f>AC28-H4</f>
        <v>-13.847803652052725</v>
      </c>
      <c r="U28" s="9">
        <f t="shared" si="0"/>
        <v>209.2776665767046</v>
      </c>
      <c r="V28" s="9">
        <f t="shared" si="1"/>
        <v>92.358561159665143</v>
      </c>
      <c r="W28" s="9">
        <f t="shared" si="2"/>
        <v>143.53154784026162</v>
      </c>
      <c r="X28" s="9">
        <f t="shared" si="3"/>
        <v>48.774312811715689</v>
      </c>
      <c r="Y28" s="10">
        <f t="shared" si="4"/>
        <v>114.54722349208167</v>
      </c>
      <c r="Z28" s="9">
        <f t="shared" si="5"/>
        <v>-41.184781589941153</v>
      </c>
      <c r="AA28" s="9">
        <f t="shared" si="6"/>
        <v>173.69667918546125</v>
      </c>
      <c r="AB28" s="9">
        <f t="shared" si="7"/>
        <v>-51.981292436852598</v>
      </c>
      <c r="AC28" s="8">
        <f t="shared" si="8"/>
        <v>-13.847803652052725</v>
      </c>
    </row>
    <row r="29" spans="3:29" ht="15" x14ac:dyDescent="0.35">
      <c r="C29" s="2" t="s">
        <v>52</v>
      </c>
      <c r="D29" s="2">
        <f>D6+D22*SIN(RADIANS(D16))</f>
        <v>100</v>
      </c>
      <c r="E29" s="2" t="s">
        <v>21</v>
      </c>
      <c r="F29" s="2" t="s">
        <v>53</v>
      </c>
      <c r="S29" s="6">
        <v>-5</v>
      </c>
      <c r="T29" s="8">
        <f>AC29-H4</f>
        <v>-14.350109131814541</v>
      </c>
      <c r="U29" s="9">
        <f t="shared" si="0"/>
        <v>209.12766156237956</v>
      </c>
      <c r="V29" s="9">
        <f t="shared" si="1"/>
        <v>90.452566736198065</v>
      </c>
      <c r="W29" s="9">
        <f t="shared" si="2"/>
        <v>142.57792888649672</v>
      </c>
      <c r="X29" s="9">
        <f t="shared" si="3"/>
        <v>48.143727127961917</v>
      </c>
      <c r="Y29" s="10">
        <f t="shared" si="4"/>
        <v>114.81368184248925</v>
      </c>
      <c r="Z29" s="9">
        <f t="shared" si="5"/>
        <v>-42.1635260510118</v>
      </c>
      <c r="AA29" s="9">
        <f t="shared" si="6"/>
        <v>172.28264689703195</v>
      </c>
      <c r="AB29" s="9">
        <f t="shared" si="7"/>
        <v>-53.569809630498241</v>
      </c>
      <c r="AC29" s="8">
        <f t="shared" si="8"/>
        <v>-14.350109131814541</v>
      </c>
    </row>
    <row r="30" spans="3:29" ht="15" x14ac:dyDescent="0.35">
      <c r="C30" s="4" t="s">
        <v>54</v>
      </c>
      <c r="D30" s="4">
        <f>SQRT((D28-D7)^2 + (D29-D8)^2)</f>
        <v>147.24734449232466</v>
      </c>
      <c r="E30" s="4" t="s">
        <v>21</v>
      </c>
      <c r="F30" s="4" t="s">
        <v>55</v>
      </c>
      <c r="S30" s="6">
        <v>-6</v>
      </c>
      <c r="T30" s="8">
        <f>AC30-H4</f>
        <v>-14.854418077001696</v>
      </c>
      <c r="U30" s="9">
        <f t="shared" si="0"/>
        <v>208.94441520519916</v>
      </c>
      <c r="V30" s="9">
        <f t="shared" si="1"/>
        <v>88.549480553391206</v>
      </c>
      <c r="W30" s="9">
        <f t="shared" si="2"/>
        <v>141.61463160875266</v>
      </c>
      <c r="X30" s="9">
        <f t="shared" si="3"/>
        <v>47.504638937503486</v>
      </c>
      <c r="Y30" s="10">
        <f t="shared" si="4"/>
        <v>115.07957802936814</v>
      </c>
      <c r="Z30" s="9">
        <f t="shared" si="5"/>
        <v>-43.147994891462574</v>
      </c>
      <c r="AA30" s="9">
        <f t="shared" si="6"/>
        <v>170.83318056280876</v>
      </c>
      <c r="AB30" s="9">
        <f t="shared" si="7"/>
        <v>-55.143016794357152</v>
      </c>
      <c r="AC30" s="8">
        <f t="shared" si="8"/>
        <v>-14.854418077001696</v>
      </c>
    </row>
    <row r="31" spans="3:29" ht="15" x14ac:dyDescent="0.35">
      <c r="C31" s="4" t="s">
        <v>56</v>
      </c>
      <c r="D31" s="5">
        <f>(D23^2 - D27^2 + D30^2)/(2*D30)</f>
        <v>51.212402206776225</v>
      </c>
      <c r="E31" s="4" t="s">
        <v>21</v>
      </c>
      <c r="F31" s="4" t="s">
        <v>57</v>
      </c>
      <c r="S31" s="6">
        <v>-7</v>
      </c>
      <c r="T31" s="8">
        <f>AC31-H4</f>
        <v>-15.360868612105893</v>
      </c>
      <c r="U31" s="9">
        <f t="shared" si="0"/>
        <v>208.72798332377909</v>
      </c>
      <c r="V31" s="9">
        <f t="shared" si="1"/>
        <v>86.649882309731453</v>
      </c>
      <c r="W31" s="9">
        <f t="shared" si="2"/>
        <v>140.64175360224135</v>
      </c>
      <c r="X31" s="9">
        <f t="shared" si="3"/>
        <v>46.857005543279584</v>
      </c>
      <c r="Y31" s="10">
        <f t="shared" si="4"/>
        <v>115.34479195662483</v>
      </c>
      <c r="Z31" s="9">
        <f t="shared" si="5"/>
        <v>-44.138263120621765</v>
      </c>
      <c r="AA31" s="9">
        <f t="shared" si="6"/>
        <v>169.34812312636376</v>
      </c>
      <c r="AB31" s="9">
        <f t="shared" si="7"/>
        <v>-56.700132028712282</v>
      </c>
      <c r="AC31" s="8">
        <f t="shared" si="8"/>
        <v>-15.360868612105893</v>
      </c>
    </row>
    <row r="32" spans="3:29" ht="15" x14ac:dyDescent="0.35">
      <c r="C32" s="4" t="s">
        <v>58</v>
      </c>
      <c r="D32" s="5">
        <f>SQRT(D23^2 - D31^2)</f>
        <v>113.47814706017799</v>
      </c>
      <c r="E32" s="4" t="s">
        <v>21</v>
      </c>
      <c r="F32" s="4" t="s">
        <v>59</v>
      </c>
      <c r="S32" s="6">
        <v>-8</v>
      </c>
      <c r="T32" s="8">
        <f>AC32-H4</f>
        <v>-15.86960272389795</v>
      </c>
      <c r="U32" s="9">
        <f t="shared" si="0"/>
        <v>208.47843184536691</v>
      </c>
      <c r="V32" s="9">
        <f t="shared" si="1"/>
        <v>84.754350641245651</v>
      </c>
      <c r="W32" s="9">
        <f t="shared" si="2"/>
        <v>139.65939411149208</v>
      </c>
      <c r="X32" s="9">
        <f t="shared" si="3"/>
        <v>46.200781715002378</v>
      </c>
      <c r="Y32" s="10">
        <f t="shared" si="4"/>
        <v>115.60920278646809</v>
      </c>
      <c r="Z32" s="9">
        <f t="shared" si="5"/>
        <v>-45.134409794766398</v>
      </c>
      <c r="AA32" s="9">
        <f t="shared" si="6"/>
        <v>167.82732367939892</v>
      </c>
      <c r="AB32" s="9">
        <f t="shared" si="7"/>
        <v>-58.240360466818665</v>
      </c>
      <c r="AC32" s="8">
        <f t="shared" si="8"/>
        <v>-15.86960272389795</v>
      </c>
    </row>
    <row r="33" spans="3:29" ht="15" x14ac:dyDescent="0.35">
      <c r="C33" s="4" t="s">
        <v>60</v>
      </c>
      <c r="D33" s="5">
        <f>D7 + D31*(D28-D7)/D30</f>
        <v>125.05538384780229</v>
      </c>
      <c r="E33" s="4" t="s">
        <v>21</v>
      </c>
      <c r="F33" s="4" t="s">
        <v>61</v>
      </c>
      <c r="S33" s="6">
        <v>-9</v>
      </c>
      <c r="T33" s="8">
        <f>AC33-H4</f>
        <v>-16.380766441197441</v>
      </c>
      <c r="U33" s="9">
        <f t="shared" si="0"/>
        <v>208.19583678576049</v>
      </c>
      <c r="V33" s="9">
        <f t="shared" si="1"/>
        <v>82.863462945242446</v>
      </c>
      <c r="W33" s="9">
        <f t="shared" si="2"/>
        <v>138.66765406454513</v>
      </c>
      <c r="X33" s="9">
        <f t="shared" si="3"/>
        <v>45.535919565950529</v>
      </c>
      <c r="Y33" s="10">
        <f t="shared" si="4"/>
        <v>115.87268888432375</v>
      </c>
      <c r="Z33" s="9">
        <f t="shared" si="5"/>
        <v>-46.136518194208463</v>
      </c>
      <c r="AA33" s="9">
        <f t="shared" si="6"/>
        <v>166.27063743502731</v>
      </c>
      <c r="AB33" s="9">
        <f t="shared" si="7"/>
        <v>-59.762893873549245</v>
      </c>
      <c r="AC33" s="8">
        <f t="shared" si="8"/>
        <v>-16.380766441197441</v>
      </c>
    </row>
    <row r="34" spans="3:29" ht="15" x14ac:dyDescent="0.35">
      <c r="C34" s="4" t="s">
        <v>62</v>
      </c>
      <c r="D34" s="5">
        <f>D8 + D31*(D29-D8)/D30</f>
        <v>54.345893413793952</v>
      </c>
      <c r="E34" s="4" t="s">
        <v>21</v>
      </c>
      <c r="F34" s="4" t="s">
        <v>63</v>
      </c>
      <c r="S34" s="6">
        <v>-10</v>
      </c>
      <c r="T34" s="8">
        <f>AC34-H4</f>
        <v>-16.894510024712048</v>
      </c>
      <c r="U34" s="9">
        <f t="shared" si="0"/>
        <v>207.88028422615253</v>
      </c>
      <c r="V34" s="9">
        <f t="shared" si="1"/>
        <v>80.977795204431487</v>
      </c>
      <c r="W34" s="9">
        <f t="shared" si="2"/>
        <v>137.66663610935845</v>
      </c>
      <c r="X34" s="9">
        <f t="shared" si="3"/>
        <v>44.862368424017994</v>
      </c>
      <c r="Y34" s="10">
        <f t="shared" si="4"/>
        <v>116.13512775808908</v>
      </c>
      <c r="Z34" s="9">
        <f t="shared" si="5"/>
        <v>-47.144676009110199</v>
      </c>
      <c r="AA34" s="9">
        <f t="shared" si="6"/>
        <v>164.67792570128535</v>
      </c>
      <c r="AB34" s="9">
        <f t="shared" si="7"/>
        <v>-61.266910208068268</v>
      </c>
      <c r="AC34" s="8">
        <f t="shared" si="8"/>
        <v>-16.894510024712048</v>
      </c>
    </row>
    <row r="35" spans="3:29" ht="15" x14ac:dyDescent="0.35">
      <c r="C35" s="4" t="s">
        <v>64</v>
      </c>
      <c r="D35" s="4">
        <v>-1</v>
      </c>
      <c r="E35" s="4" t="s">
        <v>65</v>
      </c>
      <c r="F35" s="4" t="s">
        <v>66</v>
      </c>
      <c r="S35" s="6">
        <v>-11</v>
      </c>
      <c r="T35" s="8">
        <f>AC35-H4</f>
        <v>-17.410988167524188</v>
      </c>
      <c r="U35" s="9">
        <f t="shared" si="0"/>
        <v>207.53187028690948</v>
      </c>
      <c r="V35" s="9">
        <f t="shared" si="1"/>
        <v>79.097921811473498</v>
      </c>
      <c r="W35" s="9">
        <f t="shared" si="2"/>
        <v>136.65644465257637</v>
      </c>
      <c r="X35" s="9">
        <f t="shared" si="3"/>
        <v>44.18007469673703</v>
      </c>
      <c r="Y35" s="10">
        <f t="shared" si="4"/>
        <v>116.39639599141692</v>
      </c>
      <c r="Z35" s="9">
        <f t="shared" si="5"/>
        <v>-48.158975534582972</v>
      </c>
      <c r="AA35" s="9">
        <f t="shared" si="6"/>
        <v>163.04905585585325</v>
      </c>
      <c r="AB35" s="9">
        <f t="shared" si="7"/>
        <v>-62.7515731481217</v>
      </c>
      <c r="AC35" s="8">
        <f t="shared" si="8"/>
        <v>-17.410988167524188</v>
      </c>
    </row>
    <row r="36" spans="3:29" ht="15" x14ac:dyDescent="0.35">
      <c r="C36" s="2" t="s">
        <v>67</v>
      </c>
      <c r="D36" s="1">
        <f>D33 - D35*D32*(D29-D8)/D30</f>
        <v>179.00182560944992</v>
      </c>
      <c r="E36" s="2" t="s">
        <v>21</v>
      </c>
      <c r="F36" s="2" t="s">
        <v>69</v>
      </c>
      <c r="S36" s="6">
        <v>-12</v>
      </c>
      <c r="T36" s="8">
        <f>AC36-H4</f>
        <v>-17.930360206840753</v>
      </c>
      <c r="U36" s="9">
        <f t="shared" si="0"/>
        <v>207.15070109829242</v>
      </c>
      <c r="V36" s="9">
        <f t="shared" si="1"/>
        <v>77.224415394014699</v>
      </c>
      <c r="W36" s="9">
        <f t="shared" si="2"/>
        <v>135.63718590082055</v>
      </c>
      <c r="X36" s="9">
        <f t="shared" si="3"/>
        <v>43.488981729981404</v>
      </c>
      <c r="Y36" s="10">
        <f t="shared" si="4"/>
        <v>116.65636917069442</v>
      </c>
      <c r="Z36" s="9">
        <f t="shared" si="5"/>
        <v>-49.179513875658984</v>
      </c>
      <c r="AA36" s="9">
        <f t="shared" si="6"/>
        <v>161.38390132307802</v>
      </c>
      <c r="AB36" s="9">
        <f t="shared" si="7"/>
        <v>-64.216031573376611</v>
      </c>
      <c r="AC36" s="8">
        <f t="shared" si="8"/>
        <v>-17.930360206840753</v>
      </c>
    </row>
    <row r="37" spans="3:29" ht="15" x14ac:dyDescent="0.35">
      <c r="C37" s="2" t="s">
        <v>68</v>
      </c>
      <c r="D37" s="1">
        <f>D34 + D35*D32*(D28-D7)/D30</f>
        <v>-45.489327232371515</v>
      </c>
      <c r="E37" s="2" t="s">
        <v>21</v>
      </c>
      <c r="F37" s="2" t="s">
        <v>70</v>
      </c>
      <c r="S37" s="6">
        <v>-13</v>
      </c>
      <c r="T37" s="8">
        <f>AC37-H4</f>
        <v>-18.452790347663029</v>
      </c>
      <c r="U37" s="9">
        <f t="shared" si="0"/>
        <v>206.73689276812871</v>
      </c>
      <c r="V37" s="9">
        <f t="shared" si="1"/>
        <v>75.357846640258927</v>
      </c>
      <c r="W37" s="9">
        <f t="shared" si="2"/>
        <v>134.60896790467345</v>
      </c>
      <c r="X37" s="9">
        <f t="shared" si="3"/>
        <v>42.789029660041919</v>
      </c>
      <c r="Y37" s="10">
        <f t="shared" si="4"/>
        <v>116.91492180535406</v>
      </c>
      <c r="Z37" s="9">
        <f t="shared" si="5"/>
        <v>-50.20639316276349</v>
      </c>
      <c r="AA37" s="9">
        <f t="shared" si="6"/>
        <v>159.68234155452382</v>
      </c>
      <c r="AB37" s="9">
        <f t="shared" si="7"/>
        <v>-65.659419005073417</v>
      </c>
      <c r="AC37" s="8">
        <f t="shared" si="8"/>
        <v>-18.452790347663029</v>
      </c>
    </row>
    <row r="38" spans="3:29" ht="15" x14ac:dyDescent="0.35">
      <c r="C38" s="2" t="s">
        <v>28</v>
      </c>
      <c r="D38" s="1">
        <f>DEGREES(ATAN2(D36-D7, D37-D8))</f>
        <v>-37.325679751316315</v>
      </c>
      <c r="E38" s="2" t="s">
        <v>1</v>
      </c>
      <c r="F38" s="2" t="s">
        <v>71</v>
      </c>
      <c r="S38" s="6">
        <v>-14</v>
      </c>
      <c r="T38" s="8">
        <f>AC38-H4</f>
        <v>-18.978447899078734</v>
      </c>
      <c r="U38" s="9">
        <f t="shared" si="0"/>
        <v>206.29057134644427</v>
      </c>
      <c r="V38" s="9">
        <f t="shared" si="1"/>
        <v>73.498784125130442</v>
      </c>
      <c r="W38" s="9">
        <f t="shared" si="2"/>
        <v>133.57190060553916</v>
      </c>
      <c r="X38" s="9">
        <f t="shared" si="3"/>
        <v>42.08015525875453</v>
      </c>
      <c r="Y38" s="10">
        <f t="shared" si="4"/>
        <v>117.1719272411234</v>
      </c>
      <c r="Z38" s="9">
        <f t="shared" si="5"/>
        <v>-51.239720778354481</v>
      </c>
      <c r="AA38" s="9">
        <f t="shared" si="6"/>
        <v>157.94426201442076</v>
      </c>
      <c r="AB38" s="9">
        <f t="shared" si="7"/>
        <v>-67.080852999071482</v>
      </c>
      <c r="AC38" s="8">
        <f t="shared" si="8"/>
        <v>-18.978447899078734</v>
      </c>
    </row>
    <row r="39" spans="3:29" ht="15" x14ac:dyDescent="0.35">
      <c r="S39" s="6">
        <v>-15</v>
      </c>
      <c r="T39" s="8">
        <f>AC39-H4</f>
        <v>-19.507507523925312</v>
      </c>
      <c r="U39" s="9">
        <f t="shared" si="0"/>
        <v>205.81187278706787</v>
      </c>
      <c r="V39" s="9">
        <f t="shared" si="1"/>
        <v>71.647794137080481</v>
      </c>
      <c r="W39" s="9">
        <f t="shared" si="2"/>
        <v>132.52609588558016</v>
      </c>
      <c r="X39" s="9">
        <f t="shared" si="3"/>
        <v>41.362291771347884</v>
      </c>
      <c r="Y39" s="10">
        <f t="shared" si="4"/>
        <v>117.42725756578788</v>
      </c>
      <c r="Z39" s="9">
        <f t="shared" si="5"/>
        <v>-52.279609595440142</v>
      </c>
      <c r="AA39" s="9">
        <f t="shared" si="6"/>
        <v>156.16955417154651</v>
      </c>
      <c r="AB39" s="9">
        <f t="shared" si="7"/>
        <v>-68.479434489175674</v>
      </c>
      <c r="AC39" s="8">
        <f t="shared" si="8"/>
        <v>-19.507507523925312</v>
      </c>
    </row>
    <row r="40" spans="3:29" ht="15" x14ac:dyDescent="0.35">
      <c r="C40" s="15" t="s">
        <v>7</v>
      </c>
      <c r="D40" s="15"/>
      <c r="E40" s="15"/>
      <c r="F40" s="15"/>
      <c r="S40" s="6">
        <v>-16</v>
      </c>
      <c r="T40" s="8">
        <f>AC40-H4</f>
        <v>-20.040149502623613</v>
      </c>
      <c r="U40" s="9">
        <f t="shared" si="0"/>
        <v>205.30094290621787</v>
      </c>
      <c r="V40" s="9">
        <f t="shared" si="1"/>
        <v>69.805440505590354</v>
      </c>
      <c r="W40" s="9">
        <f t="shared" si="2"/>
        <v>131.47166762094167</v>
      </c>
      <c r="X40" s="9">
        <f t="shared" si="3"/>
        <v>40.635368746663012</v>
      </c>
      <c r="Y40" s="10">
        <f t="shared" si="4"/>
        <v>117.68078350700561</v>
      </c>
      <c r="Z40" s="9">
        <f t="shared" si="5"/>
        <v>-53.326178228729695</v>
      </c>
      <c r="AA40" s="9">
        <f t="shared" si="6"/>
        <v>154.35811549925847</v>
      </c>
      <c r="AB40" s="9">
        <f t="shared" si="7"/>
        <v>-69.854247077422485</v>
      </c>
      <c r="AC40" s="8">
        <f t="shared" si="8"/>
        <v>-20.040149502623613</v>
      </c>
    </row>
    <row r="41" spans="3:29" ht="15" x14ac:dyDescent="0.35">
      <c r="C41" s="2" t="s">
        <v>3</v>
      </c>
      <c r="D41" s="2" t="s">
        <v>0</v>
      </c>
      <c r="E41" s="2" t="s">
        <v>2</v>
      </c>
      <c r="F41" s="2" t="s">
        <v>5</v>
      </c>
      <c r="S41" s="6">
        <v>-17</v>
      </c>
      <c r="T41" s="8">
        <f>AC41-H4</f>
        <v>-20.576560012036865</v>
      </c>
      <c r="U41" s="9">
        <f t="shared" si="0"/>
        <v>204.75793733808553</v>
      </c>
      <c r="V41" s="9">
        <f t="shared" si="1"/>
        <v>67.972284429423468</v>
      </c>
      <c r="W41" s="9">
        <f t="shared" si="2"/>
        <v>130.40873173849482</v>
      </c>
      <c r="X41" s="9">
        <f t="shared" si="3"/>
        <v>39.899311859387062</v>
      </c>
      <c r="Y41" s="10">
        <f t="shared" si="4"/>
        <v>117.93237432167375</v>
      </c>
      <c r="Z41" s="9">
        <f t="shared" si="5"/>
        <v>-54.37955129922203</v>
      </c>
      <c r="AA41" s="9">
        <f t="shared" si="6"/>
        <v>152.50984948559793</v>
      </c>
      <c r="AB41" s="9">
        <f t="shared" si="7"/>
        <v>-71.204356267780952</v>
      </c>
      <c r="AC41" s="8">
        <f t="shared" si="8"/>
        <v>-20.576560012036865</v>
      </c>
    </row>
    <row r="42" spans="3:29" ht="15" x14ac:dyDescent="0.35">
      <c r="C42" s="2" t="s">
        <v>72</v>
      </c>
      <c r="D42" s="2">
        <f>DEGREES(ATAN(D26/(D29-D37)))</f>
        <v>7.8272280346744791</v>
      </c>
      <c r="E42" s="2" t="s">
        <v>1</v>
      </c>
      <c r="F42" s="2" t="s">
        <v>73</v>
      </c>
      <c r="S42" s="6">
        <v>-18</v>
      </c>
      <c r="T42" s="8">
        <f>AC42-H4</f>
        <v>-21.116931420266063</v>
      </c>
      <c r="U42" s="9">
        <f t="shared" si="0"/>
        <v>204.18302148742703</v>
      </c>
      <c r="V42" s="9">
        <f t="shared" si="1"/>
        <v>66.148884305678848</v>
      </c>
      <c r="W42" s="9">
        <f t="shared" si="2"/>
        <v>129.33740627634418</v>
      </c>
      <c r="X42" s="9">
        <f t="shared" si="3"/>
        <v>39.154042723928335</v>
      </c>
      <c r="Y42" s="10">
        <f t="shared" si="4"/>
        <v>118.18189767630572</v>
      </c>
      <c r="Z42" s="9">
        <f t="shared" si="5"/>
        <v>-55.43985971308836</v>
      </c>
      <c r="AA42" s="9">
        <f t="shared" si="6"/>
        <v>150.62466565561755</v>
      </c>
      <c r="AB42" s="9">
        <f t="shared" si="7"/>
        <v>-72.528808639485504</v>
      </c>
      <c r="AC42" s="8">
        <f t="shared" si="8"/>
        <v>-21.116931420266063</v>
      </c>
    </row>
    <row r="43" spans="3:29" ht="15" x14ac:dyDescent="0.35">
      <c r="C43" s="2" t="s">
        <v>74</v>
      </c>
      <c r="D43" s="2">
        <f>-DEGREES(ATAN((D28 - D36)/(D29-D37)))</f>
        <v>-11.85597979256281</v>
      </c>
      <c r="E43" s="2" t="s">
        <v>1</v>
      </c>
      <c r="F43" s="2" t="s">
        <v>75</v>
      </c>
      <c r="S43" s="6">
        <v>-19</v>
      </c>
      <c r="T43" s="8">
        <f>AC43-H4</f>
        <v>-21.661462598356255</v>
      </c>
      <c r="U43" s="9">
        <f t="shared" si="0"/>
        <v>203.5763704791799</v>
      </c>
      <c r="V43" s="9">
        <f t="shared" si="1"/>
        <v>64.335795559697829</v>
      </c>
      <c r="W43" s="9">
        <f t="shared" si="2"/>
        <v>128.25781144836711</v>
      </c>
      <c r="X43" s="9">
        <f t="shared" si="3"/>
        <v>38.399478699549775</v>
      </c>
      <c r="Y43" s="10">
        <f t="shared" si="4"/>
        <v>118.42921951783192</v>
      </c>
      <c r="Z43" s="9">
        <f t="shared" si="5"/>
        <v>-56.507240955760146</v>
      </c>
      <c r="AA43" s="9">
        <f t="shared" si="6"/>
        <v>148.70247960834027</v>
      </c>
      <c r="AB43" s="9">
        <f t="shared" si="7"/>
        <v>-73.826630955962287</v>
      </c>
      <c r="AC43" s="8">
        <f t="shared" si="8"/>
        <v>-21.661462598356255</v>
      </c>
    </row>
    <row r="44" spans="3:29" ht="15" x14ac:dyDescent="0.35">
      <c r="C44" s="2" t="s">
        <v>77</v>
      </c>
      <c r="D44" s="1">
        <f>(D28-D5)*(D37-D8)-(D29-D6)*(D36-D7)</f>
        <v>-8269.4414752117846</v>
      </c>
      <c r="E44" s="2" t="s">
        <v>21</v>
      </c>
      <c r="F44" s="2" t="s">
        <v>79</v>
      </c>
      <c r="S44" s="6">
        <v>-20</v>
      </c>
      <c r="T44" s="8">
        <f>AC44-H4</f>
        <v>-22.21035924995325</v>
      </c>
      <c r="U44" s="9">
        <f t="shared" si="0"/>
        <v>202.93816910511799</v>
      </c>
      <c r="V44" s="9">
        <f t="shared" si="1"/>
        <v>62.533570475876253</v>
      </c>
      <c r="W44" s="9">
        <f t="shared" si="2"/>
        <v>127.17006971307123</v>
      </c>
      <c r="X44" s="9">
        <f t="shared" si="3"/>
        <v>37.635532686365707</v>
      </c>
      <c r="Y44" s="10">
        <f t="shared" si="4"/>
        <v>118.67420393418908</v>
      </c>
      <c r="Z44" s="9">
        <f t="shared" si="5"/>
        <v>-57.581839402193012</v>
      </c>
      <c r="AA44" s="9">
        <f t="shared" si="6"/>
        <v>146.74321307104432</v>
      </c>
      <c r="AB44" s="9">
        <f t="shared" si="7"/>
        <v>-75.096829205039171</v>
      </c>
      <c r="AC44" s="8">
        <f t="shared" si="8"/>
        <v>-22.21035924995325</v>
      </c>
    </row>
    <row r="45" spans="3:29" x14ac:dyDescent="0.3">
      <c r="C45" s="2" t="s">
        <v>76</v>
      </c>
      <c r="D45" s="1">
        <f>D5 + (((D7-D5)*(D37-D8)-(D8-D6)*(D36-D7))/D44)*(D28-D5)</f>
        <v>-11.802749431441484</v>
      </c>
      <c r="E45" s="2" t="s">
        <v>21</v>
      </c>
      <c r="F45" s="2" t="s">
        <v>80</v>
      </c>
    </row>
    <row r="46" spans="3:29" x14ac:dyDescent="0.3">
      <c r="C46" s="2" t="s">
        <v>78</v>
      </c>
      <c r="D46" s="1">
        <f>D6 + (((D7-D5)*(D37-D8)-(D8-D6)*(D36-D7))/D44)*(D29-D6)</f>
        <v>100</v>
      </c>
      <c r="E46" s="2" t="s">
        <v>21</v>
      </c>
      <c r="F46" s="2" t="s">
        <v>81</v>
      </c>
    </row>
  </sheetData>
  <mergeCells count="5">
    <mergeCell ref="C3:F3"/>
    <mergeCell ref="C18:F18"/>
    <mergeCell ref="C40:F40"/>
    <mergeCell ref="H3:P3"/>
    <mergeCell ref="H4:P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2026-06-26T00:51:38Z</dcterms:modified>
</cp:coreProperties>
</file>