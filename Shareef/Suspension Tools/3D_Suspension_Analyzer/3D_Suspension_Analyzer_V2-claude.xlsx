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hareef\Suspension Tools\3D_Suspension_Analyzer\"/>
    </mc:Choice>
  </mc:AlternateContent>
  <xr:revisionPtr revIDLastSave="0" documentId="13_ncr:1_{B5D67D0C-BF06-4B7F-A621-D8D2F85362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I32" i="1"/>
  <c r="D32" i="1"/>
  <c r="D31" i="1"/>
  <c r="D33" i="1" s="1"/>
  <c r="D29" i="1"/>
  <c r="I26" i="1" s="1"/>
  <c r="D28" i="1"/>
  <c r="D30" i="1" s="1"/>
  <c r="J27" i="1"/>
  <c r="D27" i="1"/>
  <c r="J24" i="1"/>
  <c r="J21" i="1"/>
  <c r="J18" i="1"/>
  <c r="I18" i="1"/>
  <c r="J15" i="1"/>
  <c r="I15" i="1"/>
  <c r="I12" i="1"/>
  <c r="I9" i="1"/>
  <c r="J8" i="1"/>
  <c r="J5" i="1"/>
  <c r="K26" i="1" l="1"/>
  <c r="L26" i="1" s="1"/>
  <c r="K15" i="1"/>
  <c r="L15" i="1" s="1"/>
  <c r="K18" i="1"/>
  <c r="L18" i="1" s="1"/>
  <c r="J30" i="1"/>
  <c r="J33" i="1"/>
  <c r="I34" i="1"/>
  <c r="J35" i="1"/>
  <c r="D36" i="1"/>
  <c r="I37" i="1"/>
  <c r="I38" i="1"/>
  <c r="I40" i="1"/>
  <c r="I42" i="1"/>
  <c r="I43" i="1"/>
  <c r="I45" i="1"/>
  <c r="J12" i="1"/>
  <c r="K12" i="1" s="1"/>
  <c r="L12" i="1" s="1"/>
  <c r="J6" i="1"/>
  <c r="I13" i="1"/>
  <c r="I16" i="1"/>
  <c r="J19" i="1"/>
  <c r="J22" i="1"/>
  <c r="I28" i="1"/>
  <c r="J34" i="1"/>
  <c r="J37" i="1"/>
  <c r="I39" i="1"/>
  <c r="J40" i="1"/>
  <c r="J41" i="1"/>
  <c r="J42" i="1"/>
  <c r="I44" i="1"/>
  <c r="J45" i="1"/>
  <c r="I30" i="1"/>
  <c r="J32" i="1"/>
  <c r="K32" i="1" s="1"/>
  <c r="L32" i="1" s="1"/>
  <c r="I6" i="1"/>
  <c r="J9" i="1"/>
  <c r="K9" i="1" s="1"/>
  <c r="L9" i="1" s="1"/>
  <c r="J13" i="1"/>
  <c r="J16" i="1"/>
  <c r="I23" i="1"/>
  <c r="J43" i="1"/>
  <c r="J38" i="1"/>
  <c r="I35" i="1"/>
  <c r="I41" i="1"/>
  <c r="J36" i="1"/>
  <c r="I33" i="1"/>
  <c r="J28" i="1"/>
  <c r="J44" i="1"/>
  <c r="J39" i="1"/>
  <c r="I36" i="1"/>
  <c r="I31" i="1"/>
  <c r="I19" i="1"/>
  <c r="J25" i="1"/>
  <c r="I10" i="1"/>
  <c r="I17" i="1"/>
  <c r="I20" i="1"/>
  <c r="J23" i="1"/>
  <c r="J26" i="1"/>
  <c r="I11" i="1"/>
  <c r="I14" i="1"/>
  <c r="J17" i="1"/>
  <c r="J20" i="1"/>
  <c r="I29" i="1"/>
  <c r="J31" i="1"/>
  <c r="I25" i="1"/>
  <c r="D35" i="1"/>
  <c r="I22" i="1"/>
  <c r="I7" i="1"/>
  <c r="J7" i="1"/>
  <c r="J10" i="1"/>
  <c r="I5" i="1"/>
  <c r="I8" i="1"/>
  <c r="J11" i="1"/>
  <c r="J14" i="1"/>
  <c r="I21" i="1"/>
  <c r="I24" i="1"/>
  <c r="I27" i="1"/>
  <c r="J29" i="1"/>
  <c r="M12" i="1" l="1"/>
  <c r="O12" i="1" s="1"/>
  <c r="M18" i="1"/>
  <c r="O18" i="1" s="1"/>
  <c r="O15" i="1"/>
  <c r="M15" i="1"/>
  <c r="N15" i="1" s="1"/>
  <c r="P15" i="1" s="1"/>
  <c r="Q15" i="1" s="1"/>
  <c r="M32" i="1"/>
  <c r="N32" i="1" s="1"/>
  <c r="M9" i="1"/>
  <c r="O9" i="1" s="1"/>
  <c r="M26" i="1"/>
  <c r="O26" i="1" s="1"/>
  <c r="K37" i="1"/>
  <c r="L37" i="1" s="1"/>
  <c r="K19" i="1"/>
  <c r="L19" i="1" s="1"/>
  <c r="K39" i="1"/>
  <c r="L39" i="1" s="1"/>
  <c r="K28" i="1"/>
  <c r="L28" i="1" s="1"/>
  <c r="K31" i="1"/>
  <c r="L31" i="1" s="1"/>
  <c r="K35" i="1"/>
  <c r="L35" i="1" s="1"/>
  <c r="K17" i="1"/>
  <c r="L17" i="1" s="1"/>
  <c r="K45" i="1"/>
  <c r="L45" i="1" s="1"/>
  <c r="K21" i="1"/>
  <c r="L21" i="1" s="1"/>
  <c r="K41" i="1"/>
  <c r="L41" i="1" s="1"/>
  <c r="K38" i="1"/>
  <c r="L38" i="1" s="1"/>
  <c r="K23" i="1"/>
  <c r="L23" i="1" s="1"/>
  <c r="K36" i="1"/>
  <c r="L36" i="1" s="1"/>
  <c r="K29" i="1"/>
  <c r="L29" i="1" s="1"/>
  <c r="K30" i="1"/>
  <c r="L30" i="1" s="1"/>
  <c r="K43" i="1"/>
  <c r="L43" i="1" s="1"/>
  <c r="K34" i="1"/>
  <c r="L34" i="1" s="1"/>
  <c r="K5" i="1"/>
  <c r="L5" i="1" s="1"/>
  <c r="D37" i="1"/>
  <c r="D38" i="1" s="1"/>
  <c r="K25" i="1"/>
  <c r="L25" i="1" s="1"/>
  <c r="K7" i="1"/>
  <c r="L7" i="1" s="1"/>
  <c r="K11" i="1"/>
  <c r="L11" i="1" s="1"/>
  <c r="K8" i="1"/>
  <c r="L8" i="1" s="1"/>
  <c r="K10" i="1"/>
  <c r="L10" i="1" s="1"/>
  <c r="K16" i="1"/>
  <c r="L16" i="1" s="1"/>
  <c r="K42" i="1"/>
  <c r="L42" i="1" s="1"/>
  <c r="K13" i="1"/>
  <c r="L13" i="1" s="1"/>
  <c r="K20" i="1"/>
  <c r="L20" i="1" s="1"/>
  <c r="K14" i="1"/>
  <c r="L14" i="1" s="1"/>
  <c r="K6" i="1"/>
  <c r="L6" i="1" s="1"/>
  <c r="K27" i="1"/>
  <c r="L27" i="1" s="1"/>
  <c r="K24" i="1"/>
  <c r="L24" i="1" s="1"/>
  <c r="K22" i="1"/>
  <c r="L22" i="1" s="1"/>
  <c r="K33" i="1"/>
  <c r="L33" i="1" s="1"/>
  <c r="K44" i="1"/>
  <c r="L44" i="1" s="1"/>
  <c r="K40" i="1"/>
  <c r="L40" i="1" s="1"/>
  <c r="R9" i="1" l="1"/>
  <c r="P32" i="1"/>
  <c r="Q32" i="1" s="1"/>
  <c r="M8" i="1"/>
  <c r="N8" i="1" s="1"/>
  <c r="M25" i="1"/>
  <c r="O25" i="1" s="1"/>
  <c r="N9" i="1"/>
  <c r="P9" i="1" s="1"/>
  <c r="Q9" i="1" s="1"/>
  <c r="M23" i="1"/>
  <c r="O23" i="1" s="1"/>
  <c r="O21" i="1"/>
  <c r="M21" i="1"/>
  <c r="N21" i="1" s="1"/>
  <c r="P21" i="1" s="1"/>
  <c r="Q21" i="1" s="1"/>
  <c r="O27" i="1"/>
  <c r="M27" i="1"/>
  <c r="N27" i="1" s="1"/>
  <c r="P27" i="1" s="1"/>
  <c r="Q27" i="1" s="1"/>
  <c r="M31" i="1"/>
  <c r="N31" i="1" s="1"/>
  <c r="M17" i="1"/>
  <c r="N17" i="1" s="1"/>
  <c r="M35" i="1"/>
  <c r="O35" i="1" s="1"/>
  <c r="O37" i="1"/>
  <c r="N37" i="1"/>
  <c r="P37" i="1" s="1"/>
  <c r="Q37" i="1" s="1"/>
  <c r="M37" i="1"/>
  <c r="N18" i="1"/>
  <c r="P18" i="1" s="1"/>
  <c r="Q18" i="1" s="1"/>
  <c r="N19" i="1"/>
  <c r="M19" i="1"/>
  <c r="O19" i="1" s="1"/>
  <c r="M41" i="1"/>
  <c r="O41" i="1" s="1"/>
  <c r="M11" i="1"/>
  <c r="O11" i="1" s="1"/>
  <c r="M6" i="1"/>
  <c r="O6" i="1" s="1"/>
  <c r="N16" i="1"/>
  <c r="O16" i="1"/>
  <c r="M16" i="1"/>
  <c r="D40" i="1"/>
  <c r="D41" i="1"/>
  <c r="D44" i="1" s="1"/>
  <c r="D39" i="1"/>
  <c r="M34" i="1"/>
  <c r="N34" i="1" s="1"/>
  <c r="O38" i="1"/>
  <c r="M38" i="1"/>
  <c r="N38" i="1" s="1"/>
  <c r="P38" i="1" s="1"/>
  <c r="Q38" i="1" s="1"/>
  <c r="O32" i="1"/>
  <c r="M33" i="1"/>
  <c r="O33" i="1" s="1"/>
  <c r="N40" i="1"/>
  <c r="O40" i="1"/>
  <c r="M40" i="1"/>
  <c r="N29" i="1"/>
  <c r="M29" i="1"/>
  <c r="O29" i="1" s="1"/>
  <c r="M43" i="1"/>
  <c r="O43" i="1" s="1"/>
  <c r="N45" i="1"/>
  <c r="M45" i="1"/>
  <c r="O45" i="1" s="1"/>
  <c r="O30" i="1"/>
  <c r="N30" i="1"/>
  <c r="M30" i="1"/>
  <c r="M28" i="1"/>
  <c r="O28" i="1" s="1"/>
  <c r="M22" i="1"/>
  <c r="O22" i="1" s="1"/>
  <c r="M24" i="1"/>
  <c r="O24" i="1" s="1"/>
  <c r="O44" i="1"/>
  <c r="N44" i="1"/>
  <c r="P44" i="1" s="1"/>
  <c r="Q44" i="1" s="1"/>
  <c r="M44" i="1"/>
  <c r="N10" i="1"/>
  <c r="M10" i="1"/>
  <c r="O10" i="1" s="1"/>
  <c r="M36" i="1"/>
  <c r="O36" i="1" s="1"/>
  <c r="O39" i="1"/>
  <c r="M39" i="1"/>
  <c r="N39" i="1" s="1"/>
  <c r="P39" i="1" s="1"/>
  <c r="Q39" i="1" s="1"/>
  <c r="N26" i="1"/>
  <c r="P26" i="1" s="1"/>
  <c r="Q26" i="1" s="1"/>
  <c r="N12" i="1"/>
  <c r="P12" i="1" s="1"/>
  <c r="Q12" i="1" s="1"/>
  <c r="M42" i="1"/>
  <c r="O42" i="1" s="1"/>
  <c r="R15" i="1"/>
  <c r="S15" i="1" s="1"/>
  <c r="O20" i="1"/>
  <c r="N20" i="1"/>
  <c r="P20" i="1" s="1"/>
  <c r="Q20" i="1" s="1"/>
  <c r="M20" i="1"/>
  <c r="M13" i="1"/>
  <c r="N13" i="1" s="1"/>
  <c r="M14" i="1"/>
  <c r="N14" i="1" s="1"/>
  <c r="M7" i="1"/>
  <c r="O7" i="1" s="1"/>
  <c r="O5" i="1"/>
  <c r="N5" i="1"/>
  <c r="P5" i="1" s="1"/>
  <c r="Q5" i="1" s="1"/>
  <c r="M5" i="1"/>
  <c r="T43" i="1" l="1"/>
  <c r="T23" i="1"/>
  <c r="R23" i="1"/>
  <c r="T25" i="1"/>
  <c r="T12" i="1"/>
  <c r="T15" i="1"/>
  <c r="T9" i="1"/>
  <c r="T18" i="1"/>
  <c r="T26" i="1"/>
  <c r="P13" i="1"/>
  <c r="Q13" i="1" s="1"/>
  <c r="T22" i="1"/>
  <c r="T28" i="1"/>
  <c r="R28" i="1"/>
  <c r="T10" i="1"/>
  <c r="S10" i="1"/>
  <c r="R10" i="1"/>
  <c r="T24" i="1"/>
  <c r="T6" i="1"/>
  <c r="T11" i="1"/>
  <c r="T29" i="1"/>
  <c r="R29" i="1"/>
  <c r="S29" i="1" s="1"/>
  <c r="T36" i="1"/>
  <c r="T35" i="1"/>
  <c r="R35" i="1"/>
  <c r="S35" i="1" s="1"/>
  <c r="T41" i="1"/>
  <c r="T19" i="1"/>
  <c r="R19" i="1"/>
  <c r="S19" i="1" s="1"/>
  <c r="P31" i="1"/>
  <c r="Q31" i="1" s="1"/>
  <c r="T42" i="1"/>
  <c r="R42" i="1"/>
  <c r="S42" i="1" s="1"/>
  <c r="T7" i="1"/>
  <c r="T45" i="1"/>
  <c r="R45" i="1"/>
  <c r="S45" i="1" s="1"/>
  <c r="T33" i="1"/>
  <c r="T39" i="1"/>
  <c r="R39" i="1"/>
  <c r="S39" i="1" s="1"/>
  <c r="T16" i="1"/>
  <c r="R16" i="1"/>
  <c r="S16" i="1" s="1"/>
  <c r="P40" i="1"/>
  <c r="Q40" i="1" s="1"/>
  <c r="N41" i="1"/>
  <c r="P41" i="1" s="1"/>
  <c r="Q41" i="1" s="1"/>
  <c r="O31" i="1"/>
  <c r="N42" i="1"/>
  <c r="P42" i="1" s="1"/>
  <c r="Q42" i="1" s="1"/>
  <c r="N43" i="1"/>
  <c r="P43" i="1" s="1"/>
  <c r="Q43" i="1" s="1"/>
  <c r="N23" i="1"/>
  <c r="P23" i="1" s="1"/>
  <c r="Q23" i="1" s="1"/>
  <c r="O8" i="1"/>
  <c r="R26" i="1"/>
  <c r="S26" i="1" s="1"/>
  <c r="S40" i="1"/>
  <c r="T40" i="1"/>
  <c r="R40" i="1"/>
  <c r="T44" i="1"/>
  <c r="R44" i="1"/>
  <c r="S44" i="1" s="1"/>
  <c r="T37" i="1"/>
  <c r="R37" i="1"/>
  <c r="S37" i="1" s="1"/>
  <c r="O13" i="1"/>
  <c r="N36" i="1"/>
  <c r="P36" i="1" s="1"/>
  <c r="Q36" i="1" s="1"/>
  <c r="N28" i="1"/>
  <c r="P28" i="1" s="1"/>
  <c r="Q28" i="1" s="1"/>
  <c r="O34" i="1"/>
  <c r="N7" i="1"/>
  <c r="P7" i="1" s="1"/>
  <c r="Q7" i="1" s="1"/>
  <c r="N24" i="1"/>
  <c r="P24" i="1" s="1"/>
  <c r="Q24" i="1" s="1"/>
  <c r="N33" i="1"/>
  <c r="P33" i="1" s="1"/>
  <c r="Q33" i="1" s="1"/>
  <c r="N6" i="1"/>
  <c r="P6" i="1" s="1"/>
  <c r="Q6" i="1" s="1"/>
  <c r="N35" i="1"/>
  <c r="P35" i="1" s="1"/>
  <c r="Q35" i="1" s="1"/>
  <c r="R12" i="1"/>
  <c r="T21" i="1"/>
  <c r="R21" i="1"/>
  <c r="S21" i="1" s="1"/>
  <c r="P30" i="1"/>
  <c r="Q30" i="1" s="1"/>
  <c r="S12" i="1"/>
  <c r="T20" i="1"/>
  <c r="R20" i="1"/>
  <c r="S20" i="1" s="1"/>
  <c r="P29" i="1"/>
  <c r="Q29" i="1" s="1"/>
  <c r="T27" i="1"/>
  <c r="R27" i="1"/>
  <c r="S27" i="1" s="1"/>
  <c r="P45" i="1"/>
  <c r="Q45" i="1" s="1"/>
  <c r="P10" i="1"/>
  <c r="Q10" i="1" s="1"/>
  <c r="T30" i="1"/>
  <c r="R30" i="1"/>
  <c r="S30" i="1" s="1"/>
  <c r="T32" i="1"/>
  <c r="R32" i="1"/>
  <c r="S32" i="1" s="1"/>
  <c r="P19" i="1"/>
  <c r="Q19" i="1" s="1"/>
  <c r="O14" i="1"/>
  <c r="P14" i="1" s="1"/>
  <c r="Q14" i="1" s="1"/>
  <c r="N11" i="1"/>
  <c r="P11" i="1" s="1"/>
  <c r="Q11" i="1" s="1"/>
  <c r="O17" i="1"/>
  <c r="P17" i="1" s="1"/>
  <c r="Q17" i="1" s="1"/>
  <c r="N25" i="1"/>
  <c r="P25" i="1" s="1"/>
  <c r="Q25" i="1" s="1"/>
  <c r="R18" i="1"/>
  <c r="S18" i="1" s="1"/>
  <c r="T38" i="1"/>
  <c r="R38" i="1"/>
  <c r="S38" i="1" s="1"/>
  <c r="T5" i="1"/>
  <c r="R5" i="1"/>
  <c r="S5" i="1" s="1"/>
  <c r="P16" i="1"/>
  <c r="Q16" i="1" s="1"/>
  <c r="D51" i="1"/>
  <c r="D52" i="1" s="1"/>
  <c r="D49" i="1"/>
  <c r="N22" i="1"/>
  <c r="P22" i="1" s="1"/>
  <c r="Q22" i="1" s="1"/>
  <c r="D43" i="1"/>
  <c r="S9" i="1"/>
  <c r="T8" i="1" l="1"/>
  <c r="R8" i="1"/>
  <c r="S8" i="1" s="1"/>
  <c r="R24" i="1"/>
  <c r="D53" i="1"/>
  <c r="S24" i="1"/>
  <c r="S28" i="1"/>
  <c r="S23" i="1"/>
  <c r="T34" i="1"/>
  <c r="R34" i="1"/>
  <c r="S34" i="1" s="1"/>
  <c r="R11" i="1"/>
  <c r="S11" i="1" s="1"/>
  <c r="P34" i="1"/>
  <c r="Q34" i="1" s="1"/>
  <c r="T17" i="1"/>
  <c r="S17" i="1"/>
  <c r="R17" i="1"/>
  <c r="R7" i="1"/>
  <c r="R36" i="1"/>
  <c r="R22" i="1"/>
  <c r="R43" i="1"/>
  <c r="S6" i="1"/>
  <c r="S31" i="1"/>
  <c r="T31" i="1"/>
  <c r="R31" i="1"/>
  <c r="S7" i="1"/>
  <c r="S36" i="1"/>
  <c r="P8" i="1"/>
  <c r="Q8" i="1" s="1"/>
  <c r="S22" i="1"/>
  <c r="R25" i="1"/>
  <c r="S25" i="1" s="1"/>
  <c r="S43" i="1"/>
  <c r="D45" i="1"/>
  <c r="D50" i="1"/>
  <c r="T14" i="1"/>
  <c r="R14" i="1"/>
  <c r="S14" i="1" s="1"/>
  <c r="T13" i="1"/>
  <c r="R13" i="1"/>
  <c r="S13" i="1" s="1"/>
  <c r="R33" i="1"/>
  <c r="S33" i="1" s="1"/>
  <c r="R41" i="1"/>
  <c r="S41" i="1" s="1"/>
  <c r="R6" i="1"/>
</calcChain>
</file>

<file path=xl/sharedStrings.xml><?xml version="1.0" encoding="utf-8"?>
<sst xmlns="http://schemas.openxmlformats.org/spreadsheetml/2006/main" count="141" uniqueCount="90">
  <si>
    <t>Suspension Pivot Hardpoints (Inputs)</t>
  </si>
  <si>
    <t>Travel Sweep (drives upper arm angle theta_U0 from -20 to +20 deg)</t>
  </si>
  <si>
    <t>Geometry Inputs</t>
  </si>
  <si>
    <t>Value</t>
  </si>
  <si>
    <t>Unit</t>
  </si>
  <si>
    <t>Description</t>
  </si>
  <si>
    <t>theta_U0</t>
  </si>
  <si>
    <t>UOP_y</t>
  </si>
  <si>
    <t>UOP_z</t>
  </si>
  <si>
    <t>D_centers</t>
  </si>
  <si>
    <t>a_chord</t>
  </si>
  <si>
    <t>h_chord</t>
  </si>
  <si>
    <t>LOP_y</t>
  </si>
  <si>
    <t>LOP_z</t>
  </si>
  <si>
    <t>KPI</t>
  </si>
  <si>
    <t>camber</t>
  </si>
  <si>
    <t>IC_det</t>
  </si>
  <si>
    <t>IC_z</t>
  </si>
  <si>
    <t>travel</t>
  </si>
  <si>
    <t>Y_U</t>
  </si>
  <si>
    <t>mm</t>
  </si>
  <si>
    <t>Upper inboard pickup axis lateral position (from origin)</t>
  </si>
  <si>
    <t>Z_U</t>
  </si>
  <si>
    <t>Upper inboard pickup axis vertical position (from origin)</t>
  </si>
  <si>
    <t>Y_L</t>
  </si>
  <si>
    <t>Lower inboard pickup axis lateral position (from origin)</t>
  </si>
  <si>
    <t>Z_L</t>
  </si>
  <si>
    <t>Lower inboard pickup axis vertical position (from origin)</t>
  </si>
  <si>
    <t>L_U</t>
  </si>
  <si>
    <t>Upper arm member length</t>
  </si>
  <si>
    <t>L_L</t>
  </si>
  <si>
    <t>Lower arm member length</t>
  </si>
  <si>
    <t>L_u</t>
  </si>
  <si>
    <t>Upright length (linear distance between upper and lower outboard rod end centers)</t>
  </si>
  <si>
    <t>X_uf</t>
  </si>
  <si>
    <t>Longitudinal position of the upper front pickup (from origin)</t>
  </si>
  <si>
    <t>X_ur</t>
  </si>
  <si>
    <t>Longitudinal position of the upper rear pickup (from origin)</t>
  </si>
  <si>
    <t>X_lf</t>
  </si>
  <si>
    <t>Longitudinal position of the lower front pickup (from origin)</t>
  </si>
  <si>
    <t>X_lr</t>
  </si>
  <si>
    <t>Longitudinal position of the lower rear pickup (from origin)</t>
  </si>
  <si>
    <t>deg</t>
  </si>
  <si>
    <t>Upper arm angle from horizontal at ride height on flat ground</t>
  </si>
  <si>
    <t>X_TI</t>
  </si>
  <si>
    <t>Y_TI</t>
  </si>
  <si>
    <t>Z_TI</t>
  </si>
  <si>
    <t>X_TO</t>
  </si>
  <si>
    <t>Calculated Intermediate Values</t>
  </si>
  <si>
    <t>Parameter Name</t>
  </si>
  <si>
    <t>base_U</t>
  </si>
  <si>
    <t>longitudinal spacing between the 2 upper inboard pickup points</t>
  </si>
  <si>
    <t>base_L</t>
  </si>
  <si>
    <t>longitudinal spacing between the 2 lower inboard pickup points</t>
  </si>
  <si>
    <t>r_U</t>
  </si>
  <si>
    <t>upper arm swing radius</t>
  </si>
  <si>
    <t>r_L</t>
  </si>
  <si>
    <t>lower arm swing radius</t>
  </si>
  <si>
    <t>X_UOP</t>
  </si>
  <si>
    <t>logitudinal position of the upper outboard pivot on the upright</t>
  </si>
  <si>
    <t>X_LOP</t>
  </si>
  <si>
    <t>logitudinal position of the lower outboard pivot on the upright</t>
  </si>
  <si>
    <t>dX</t>
  </si>
  <si>
    <t>longitudinal distance between upper and lower outboard pivots</t>
  </si>
  <si>
    <t>d_yz</t>
  </si>
  <si>
    <t>Upright height from front view</t>
  </si>
  <si>
    <t>lateral position of upper outboard pivot at current upper arm angle</t>
  </si>
  <si>
    <t>vertical position of upper outboard pivot at current upper arm angle</t>
  </si>
  <si>
    <t>Distance between centers of circles drawn at lower inboard and upper outboard points</t>
  </si>
  <si>
    <t>distance from center of circle at lower inboard to the line between the intersection points of both circles</t>
  </si>
  <si>
    <t>perpendicular distance from a_chord to the 2 possible intersection points of the lower arm and upright</t>
  </si>
  <si>
    <t>M_y</t>
  </si>
  <si>
    <t>lateral position of the intersection between a_chord and h_chord</t>
  </si>
  <si>
    <t>M_z</t>
  </si>
  <si>
    <t>vertical position of the intersection between a_chord and h_chord</t>
  </si>
  <si>
    <t xml:space="preserve">branch </t>
  </si>
  <si>
    <t>const</t>
  </si>
  <si>
    <t>since the cirles intersect at 2 separate points, we need this value to choose which one is the real life suspension position that doesn't require the arms crossing over</t>
  </si>
  <si>
    <t>lateral position of the lower outboard pivot</t>
  </si>
  <si>
    <t>vertical position of the lower outboard pivot</t>
  </si>
  <si>
    <t>theta_L0</t>
  </si>
  <si>
    <t>angle between lower arm and horizontal</t>
  </si>
  <si>
    <t>Caluclated Final Values</t>
  </si>
  <si>
    <t>caster</t>
  </si>
  <si>
    <t>side view angle of the steering axis from vertical</t>
  </si>
  <si>
    <t>(Kingpin inclination) front view angle between the steering axis and horizontal</t>
  </si>
  <si>
    <t>determinant of the two arm direction vectors (0 when the arms are parallel and increasesd when they diverege)</t>
  </si>
  <si>
    <t>IC_y</t>
  </si>
  <si>
    <t>horizontal position of the instant center</t>
  </si>
  <si>
    <t>vertical position of the instant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</si>
</sst>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FFFFFF"/>
      <name val="Aptos Narrow"/>
    </font>
    <font>
      <b/>
      <sz val="9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4F4F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2" fillId="7" borderId="4" xfId="0" applyFont="1" applyFill="1" applyBorder="1" applyAlignment="1">
      <alignment horizontal="center"/>
    </xf>
    <xf numFmtId="1" fontId="0" fillId="0" borderId="4" xfId="0" applyNumberFormat="1" applyBorder="1"/>
    <xf numFmtId="2" fontId="0" fillId="0" borderId="4" xfId="0" applyNumberFormat="1" applyBorder="1"/>
    <xf numFmtId="0" fontId="0" fillId="4" borderId="0" xfId="0" applyFill="1" applyAlignment="1">
      <alignment horizontal="center"/>
    </xf>
    <xf numFmtId="0" fontId="0" fillId="0" borderId="0" xfId="0"/>
    <xf numFmtId="0" fontId="1" fillId="6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Camber gain vs wheel travel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camber</c:v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'Sheet 1'!$T$5:$T$45</c:f>
              <c:numCache>
                <c:formatCode>0.00</c:formatCode>
                <c:ptCount val="41"/>
                <c:pt idx="0">
                  <c:v>-51.414746729882573</c:v>
                </c:pt>
                <c:pt idx="1">
                  <c:v>-48.967143959329725</c:v>
                </c:pt>
                <c:pt idx="2">
                  <c:v>-46.500924941702351</c:v>
                </c:pt>
                <c:pt idx="3">
                  <c:v>-44.017081087488705</c:v>
                </c:pt>
                <c:pt idx="4">
                  <c:v>-41.516588505885991</c:v>
                </c:pt>
                <c:pt idx="5">
                  <c:v>-39.000409616857979</c:v>
                </c:pt>
                <c:pt idx="6">
                  <c:v>-36.469494545785501</c:v>
                </c:pt>
                <c:pt idx="7">
                  <c:v>-33.924782328948524</c:v>
                </c:pt>
                <c:pt idx="8">
                  <c:v>-31.367201953863727</c:v>
                </c:pt>
                <c:pt idx="9">
                  <c:v>-28.797673254991395</c:v>
                </c:pt>
                <c:pt idx="10">
                  <c:v>-26.217107682381197</c:v>
                </c:pt>
                <c:pt idx="11">
                  <c:v>-23.626408958350567</c:v>
                </c:pt>
                <c:pt idx="12">
                  <c:v>-21.026473635202507</c:v>
                </c:pt>
                <c:pt idx="13">
                  <c:v>-18.418191565216667</c:v>
                </c:pt>
                <c:pt idx="14">
                  <c:v>-15.802446292647168</c:v>
                </c:pt>
                <c:pt idx="15">
                  <c:v>-13.180115376172346</c:v>
                </c:pt>
                <c:pt idx="16">
                  <c:v>-10.552070649150039</c:v>
                </c:pt>
                <c:pt idx="17">
                  <c:v>-7.9191784240851675</c:v>
                </c:pt>
                <c:pt idx="18">
                  <c:v>-5.2822996469084558</c:v>
                </c:pt>
                <c:pt idx="19">
                  <c:v>-2.6422900059646253</c:v>
                </c:pt>
                <c:pt idx="20">
                  <c:v>0</c:v>
                </c:pt>
                <c:pt idx="21">
                  <c:v>2.6437250310799882</c:v>
                </c:pt>
                <c:pt idx="22">
                  <c:v>5.2880449093787263</c:v>
                </c:pt>
                <c:pt idx="23">
                  <c:v>7.9321246531892982</c:v>
                </c:pt>
                <c:pt idx="24">
                  <c:v>10.575134539630035</c:v>
                </c:pt>
                <c:pt idx="25">
                  <c:v>13.21625019347772</c:v>
                </c:pt>
                <c:pt idx="26">
                  <c:v>15.854652700214366</c:v>
                </c:pt>
                <c:pt idx="27">
                  <c:v>18.489528741536191</c:v>
                </c:pt>
                <c:pt idx="28">
                  <c:v>21.120070751785171</c:v>
                </c:pt>
                <c:pt idx="29">
                  <c:v>23.745477093942981</c:v>
                </c:pt>
                <c:pt idx="30">
                  <c:v>26.364952253990907</c:v>
                </c:pt>
                <c:pt idx="31">
                  <c:v>28.977707052586133</c:v>
                </c:pt>
                <c:pt idx="32">
                  <c:v>31.582958873122564</c:v>
                </c:pt>
                <c:pt idx="33">
                  <c:v>34.179931905362892</c:v>
                </c:pt>
                <c:pt idx="34">
                  <c:v>36.767857403922392</c:v>
                </c:pt>
                <c:pt idx="35">
                  <c:v>39.345973960970156</c:v>
                </c:pt>
                <c:pt idx="36">
                  <c:v>41.913527792587956</c:v>
                </c:pt>
                <c:pt idx="37">
                  <c:v>44.469773038290242</c:v>
                </c:pt>
                <c:pt idx="38">
                  <c:v>47.013972073260135</c:v>
                </c:pt>
                <c:pt idx="39">
                  <c:v>49.545395832904887</c:v>
                </c:pt>
                <c:pt idx="40">
                  <c:v>52.063324149362757</c:v>
                </c:pt>
              </c:numCache>
            </c:numRef>
          </c:xVal>
          <c:yVal>
            <c:numRef>
              <c:f>'Sheet 1'!$Q$5:$Q$45</c:f>
              <c:numCache>
                <c:formatCode>0.00</c:formatCode>
                <c:ptCount val="41"/>
                <c:pt idx="0">
                  <c:v>11.229070726492232</c:v>
                </c:pt>
                <c:pt idx="1">
                  <c:v>11.013969326043405</c:v>
                </c:pt>
                <c:pt idx="2">
                  <c:v>10.809801727947223</c:v>
                </c:pt>
                <c:pt idx="3">
                  <c:v>10.616178218445979</c:v>
                </c:pt>
                <c:pt idx="4">
                  <c:v>10.432739145307973</c:v>
                </c:pt>
                <c:pt idx="5">
                  <c:v>10.259152491257321</c:v>
                </c:pt>
                <c:pt idx="6">
                  <c:v>10.095111708897463</c:v>
                </c:pt>
                <c:pt idx="7">
                  <c:v>9.9403337846479189</c:v>
                </c:pt>
                <c:pt idx="8">
                  <c:v>9.7945575038849313</c:v>
                </c:pt>
                <c:pt idx="9">
                  <c:v>9.6575418933853232</c:v>
                </c:pt>
                <c:pt idx="10">
                  <c:v>9.529064820462489</c:v>
                </c:pt>
                <c:pt idx="11">
                  <c:v>9.4089217309654174</c:v>
                </c:pt>
                <c:pt idx="12">
                  <c:v>9.2969245106614267</c:v>
                </c:pt>
                <c:pt idx="13">
                  <c:v>9.1929004565316337</c:v>
                </c:pt>
                <c:pt idx="14">
                  <c:v>9.096691346211756</c:v>
                </c:pt>
                <c:pt idx="15">
                  <c:v>9.0081525952775916</c:v>
                </c:pt>
                <c:pt idx="16">
                  <c:v>8.9271524933254724</c:v>
                </c:pt>
                <c:pt idx="17">
                  <c:v>8.8535715108811956</c:v>
                </c:pt>
                <c:pt idx="18">
                  <c:v>8.787301670100236</c:v>
                </c:pt>
                <c:pt idx="19">
                  <c:v>8.7282459730292103</c:v>
                </c:pt>
                <c:pt idx="20">
                  <c:v>8.6763178818957858</c:v>
                </c:pt>
                <c:pt idx="21">
                  <c:v>8.6314408465004711</c:v>
                </c:pt>
                <c:pt idx="22">
                  <c:v>8.5935478743113354</c:v>
                </c:pt>
                <c:pt idx="23">
                  <c:v>8.562581139320443</c:v>
                </c:pt>
                <c:pt idx="24">
                  <c:v>8.5384916261219512</c:v>
                </c:pt>
                <c:pt idx="25">
                  <c:v>8.521238806021131</c:v>
                </c:pt>
                <c:pt idx="26">
                  <c:v>8.510790342286521</c:v>
                </c:pt>
                <c:pt idx="27">
                  <c:v>8.5071218219256117</c:v>
                </c:pt>
                <c:pt idx="28">
                  <c:v>8.5102165115946331</c:v>
                </c:pt>
                <c:pt idx="29">
                  <c:v>8.5200651354569228</c:v>
                </c:pt>
                <c:pt idx="30">
                  <c:v>8.5366656729775681</c:v>
                </c:pt>
                <c:pt idx="31">
                  <c:v>8.5600231747982534</c:v>
                </c:pt>
                <c:pt idx="32">
                  <c:v>8.5901495949651991</c:v>
                </c:pt>
                <c:pt idx="33">
                  <c:v>8.6270636378975958</c:v>
                </c:pt>
                <c:pt idx="34">
                  <c:v>8.6707906185819752</c:v>
                </c:pt>
                <c:pt idx="35">
                  <c:v>8.7213623345594122</c:v>
                </c:pt>
                <c:pt idx="36">
                  <c:v>8.7788169483417331</c:v>
                </c:pt>
                <c:pt idx="37">
                  <c:v>8.8431988789515419</c:v>
                </c:pt>
                <c:pt idx="38">
                  <c:v>8.9145587013259746</c:v>
                </c:pt>
                <c:pt idx="39">
                  <c:v>8.9929530523627381</c:v>
                </c:pt>
                <c:pt idx="40">
                  <c:v>9.0784445424152018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42-4609-A55F-5B13EB887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  [+bump / -droop]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Camber (deg)  [KPI proxy]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Instant-center height vs wheel travel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IC_z</c:v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'Sheet 1'!$T$5:$T$45</c:f>
              <c:numCache>
                <c:formatCode>0.00</c:formatCode>
                <c:ptCount val="41"/>
                <c:pt idx="0">
                  <c:v>-51.414746729882573</c:v>
                </c:pt>
                <c:pt idx="1">
                  <c:v>-48.967143959329725</c:v>
                </c:pt>
                <c:pt idx="2">
                  <c:v>-46.500924941702351</c:v>
                </c:pt>
                <c:pt idx="3">
                  <c:v>-44.017081087488705</c:v>
                </c:pt>
                <c:pt idx="4">
                  <c:v>-41.516588505885991</c:v>
                </c:pt>
                <c:pt idx="5">
                  <c:v>-39.000409616857979</c:v>
                </c:pt>
                <c:pt idx="6">
                  <c:v>-36.469494545785501</c:v>
                </c:pt>
                <c:pt idx="7">
                  <c:v>-33.924782328948524</c:v>
                </c:pt>
                <c:pt idx="8">
                  <c:v>-31.367201953863727</c:v>
                </c:pt>
                <c:pt idx="9">
                  <c:v>-28.797673254991395</c:v>
                </c:pt>
                <c:pt idx="10">
                  <c:v>-26.217107682381197</c:v>
                </c:pt>
                <c:pt idx="11">
                  <c:v>-23.626408958350567</c:v>
                </c:pt>
                <c:pt idx="12">
                  <c:v>-21.026473635202507</c:v>
                </c:pt>
                <c:pt idx="13">
                  <c:v>-18.418191565216667</c:v>
                </c:pt>
                <c:pt idx="14">
                  <c:v>-15.802446292647168</c:v>
                </c:pt>
                <c:pt idx="15">
                  <c:v>-13.180115376172346</c:v>
                </c:pt>
                <c:pt idx="16">
                  <c:v>-10.552070649150039</c:v>
                </c:pt>
                <c:pt idx="17">
                  <c:v>-7.9191784240851675</c:v>
                </c:pt>
                <c:pt idx="18">
                  <c:v>-5.2822996469084558</c:v>
                </c:pt>
                <c:pt idx="19">
                  <c:v>-2.6422900059646253</c:v>
                </c:pt>
                <c:pt idx="20">
                  <c:v>0</c:v>
                </c:pt>
                <c:pt idx="21">
                  <c:v>2.6437250310799882</c:v>
                </c:pt>
                <c:pt idx="22">
                  <c:v>5.2880449093787263</c:v>
                </c:pt>
                <c:pt idx="23">
                  <c:v>7.9321246531892982</c:v>
                </c:pt>
                <c:pt idx="24">
                  <c:v>10.575134539630035</c:v>
                </c:pt>
                <c:pt idx="25">
                  <c:v>13.21625019347772</c:v>
                </c:pt>
                <c:pt idx="26">
                  <c:v>15.854652700214366</c:v>
                </c:pt>
                <c:pt idx="27">
                  <c:v>18.489528741536191</c:v>
                </c:pt>
                <c:pt idx="28">
                  <c:v>21.120070751785171</c:v>
                </c:pt>
                <c:pt idx="29">
                  <c:v>23.745477093942981</c:v>
                </c:pt>
                <c:pt idx="30">
                  <c:v>26.364952253990907</c:v>
                </c:pt>
                <c:pt idx="31">
                  <c:v>28.977707052586133</c:v>
                </c:pt>
                <c:pt idx="32">
                  <c:v>31.582958873122564</c:v>
                </c:pt>
                <c:pt idx="33">
                  <c:v>34.179931905362892</c:v>
                </c:pt>
                <c:pt idx="34">
                  <c:v>36.767857403922392</c:v>
                </c:pt>
                <c:pt idx="35">
                  <c:v>39.345973960970156</c:v>
                </c:pt>
                <c:pt idx="36">
                  <c:v>41.913527792587956</c:v>
                </c:pt>
                <c:pt idx="37">
                  <c:v>44.469773038290242</c:v>
                </c:pt>
                <c:pt idx="38">
                  <c:v>47.013972073260135</c:v>
                </c:pt>
                <c:pt idx="39">
                  <c:v>49.545395832904887</c:v>
                </c:pt>
                <c:pt idx="40">
                  <c:v>52.063324149362757</c:v>
                </c:pt>
              </c:numCache>
            </c:numRef>
          </c:xVal>
          <c:yVal>
            <c:numRef>
              <c:f>'Sheet 1'!$S$5:$S$45</c:f>
              <c:numCache>
                <c:formatCode>0.00</c:formatCode>
                <c:ptCount val="41"/>
                <c:pt idx="0">
                  <c:v>-187.51082550820757</c:v>
                </c:pt>
                <c:pt idx="1">
                  <c:v>-185.5979550491457</c:v>
                </c:pt>
                <c:pt idx="2">
                  <c:v>-183.17716384116068</c:v>
                </c:pt>
                <c:pt idx="3">
                  <c:v>-180.20771838284008</c:v>
                </c:pt>
                <c:pt idx="4">
                  <c:v>-176.64231150748515</c:v>
                </c:pt>
                <c:pt idx="5">
                  <c:v>-172.42553158452438</c:v>
                </c:pt>
                <c:pt idx="6">
                  <c:v>-167.4918933196098</c:v>
                </c:pt>
                <c:pt idx="7">
                  <c:v>-161.76327726054637</c:v>
                </c:pt>
                <c:pt idx="8">
                  <c:v>-155.14556086450369</c:v>
                </c:pt>
                <c:pt idx="9">
                  <c:v>-147.52412768289696</c:v>
                </c:pt>
                <c:pt idx="10">
                  <c:v>-138.75779406807891</c:v>
                </c:pt>
                <c:pt idx="11">
                  <c:v>-128.67046310033567</c:v>
                </c:pt>
                <c:pt idx="12">
                  <c:v>-117.03944829266376</c:v>
                </c:pt>
                <c:pt idx="13">
                  <c:v>-103.5788071799978</c:v>
                </c:pt>
                <c:pt idx="14">
                  <c:v>-87.915006715906088</c:v>
                </c:pt>
                <c:pt idx="15">
                  <c:v>-69.550463249771298</c:v>
                </c:pt>
                <c:pt idx="16">
                  <c:v>-47.807270592158886</c:v>
                </c:pt>
                <c:pt idx="17">
                  <c:v>-21.737306259659803</c:v>
                </c:pt>
                <c:pt idx="18">
                  <c:v>10.027312324280459</c:v>
                </c:pt>
                <c:pt idx="19">
                  <c:v>49.535341841222156</c:v>
                </c:pt>
                <c:pt idx="20">
                  <c:v>100</c:v>
                </c:pt>
                <c:pt idx="21">
                  <c:v>166.76276779125169</c:v>
                </c:pt>
                <c:pt idx="22">
                  <c:v>259.40409333103401</c:v>
                </c:pt>
                <c:pt idx="23">
                  <c:v>396.98716553295833</c:v>
                </c:pt>
                <c:pt idx="24">
                  <c:v>623.64406070694258</c:v>
                </c:pt>
                <c:pt idx="25">
                  <c:v>1069.9561431695702</c:v>
                </c:pt>
                <c:pt idx="26">
                  <c:v>2367.7354601209731</c:v>
                </c:pt>
                <c:pt idx="27">
                  <c:v>65165.802999183754</c:v>
                </c:pt>
                <c:pt idx="28">
                  <c:v>-3146.8552994162451</c:v>
                </c:pt>
                <c:pt idx="29">
                  <c:v>-1674.1218368528907</c:v>
                </c:pt>
                <c:pt idx="30">
                  <c:v>-1194.6994675661169</c:v>
                </c:pt>
                <c:pt idx="31">
                  <c:v>-955.55847845260405</c:v>
                </c:pt>
                <c:pt idx="32">
                  <c:v>-811.2129750748627</c:v>
                </c:pt>
                <c:pt idx="33">
                  <c:v>-713.85617965962592</c:v>
                </c:pt>
                <c:pt idx="34">
                  <c:v>-643.16749283665092</c:v>
                </c:pt>
                <c:pt idx="35">
                  <c:v>-589.04282289277398</c:v>
                </c:pt>
                <c:pt idx="36">
                  <c:v>-545.89214487366314</c:v>
                </c:pt>
                <c:pt idx="37">
                  <c:v>-510.37298829905092</c:v>
                </c:pt>
                <c:pt idx="38">
                  <c:v>-480.36495100228228</c:v>
                </c:pt>
                <c:pt idx="39">
                  <c:v>-454.45875775816944</c:v>
                </c:pt>
                <c:pt idx="40">
                  <c:v>-431.68190062754661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C-47E9-957D-486A5904C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 vertical position (mm)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47</xdr:row>
      <xdr:rowOff>0</xdr:rowOff>
    </xdr:from>
    <xdr:ext cx="5760000" cy="30600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65</xdr:row>
      <xdr:rowOff>0</xdr:rowOff>
    </xdr:from>
    <xdr:ext cx="5760000" cy="306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T53"/>
  <sheetViews>
    <sheetView tabSelected="1" zoomScale="85" zoomScaleNormal="85" workbookViewId="0">
      <selection activeCell="F32" sqref="F32"/>
    </sheetView>
  </sheetViews>
  <sheetFormatPr defaultRowHeight="15"/>
  <cols>
    <col min="3" max="3" width="14.85546875" bestFit="1" customWidth="1"/>
    <col min="4" max="4" width="8.28515625" bestFit="1" customWidth="1"/>
    <col min="5" max="5" width="5.7109375" bestFit="1" customWidth="1"/>
    <col min="6" max="6" width="146" bestFit="1" customWidth="1"/>
    <col min="7" max="7" width="46.85546875" bestFit="1" customWidth="1"/>
    <col min="8" max="10" width="9" customWidth="1"/>
    <col min="11" max="11" width="10" customWidth="1"/>
    <col min="12" max="15" width="9" customWidth="1"/>
    <col min="16" max="17" width="8" customWidth="1"/>
    <col min="18" max="19" width="9" customWidth="1"/>
    <col min="20" max="20" width="8" customWidth="1"/>
  </cols>
  <sheetData>
    <row r="3" spans="3:20">
      <c r="C3" s="12" t="s">
        <v>0</v>
      </c>
      <c r="D3" s="13"/>
      <c r="E3" s="13"/>
      <c r="F3" s="14"/>
      <c r="H3" s="11" t="s">
        <v>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3:20">
      <c r="C4" s="2" t="s">
        <v>2</v>
      </c>
      <c r="D4" s="2" t="s">
        <v>3</v>
      </c>
      <c r="E4" s="2" t="s">
        <v>4</v>
      </c>
      <c r="F4" s="2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13</v>
      </c>
      <c r="P4" s="6" t="s">
        <v>14</v>
      </c>
      <c r="Q4" s="6" t="s">
        <v>15</v>
      </c>
      <c r="R4" s="6" t="s">
        <v>16</v>
      </c>
      <c r="S4" s="6" t="s">
        <v>17</v>
      </c>
      <c r="T4" s="6" t="s">
        <v>18</v>
      </c>
    </row>
    <row r="5" spans="3:20">
      <c r="C5" s="2" t="s">
        <v>19</v>
      </c>
      <c r="D5" s="2">
        <v>100</v>
      </c>
      <c r="E5" s="2" t="s">
        <v>20</v>
      </c>
      <c r="F5" s="2" t="s">
        <v>21</v>
      </c>
      <c r="H5" s="7">
        <v>-20</v>
      </c>
      <c r="I5" s="8">
        <f t="shared" ref="I5:I45" si="0">$D$5+$D$29*COS(RADIANS(H5))</f>
        <v>242.82091344766073</v>
      </c>
      <c r="J5" s="8">
        <f t="shared" ref="J5:J45" si="1">$D$6+$D$29*SIN(RADIANS(H5))</f>
        <v>48.017438674341918</v>
      </c>
      <c r="K5" s="8">
        <f t="shared" ref="K5:K45" si="2">SQRT((I5-$D$7)^2+(J5-$D$8)^2)</f>
        <v>163.81476719854746</v>
      </c>
      <c r="L5" s="8">
        <f t="shared" ref="L5:L45" si="3">($D$30^2-$D$34^2+K5^2)/(2*K5)</f>
        <v>170.72721497848661</v>
      </c>
      <c r="M5" s="8">
        <f t="shared" ref="M5:M45" si="4">IFERROR(SQRT($D$30^2-L5^2),"BIND")</f>
        <v>66.724943354712622</v>
      </c>
      <c r="N5" s="8">
        <f t="shared" ref="N5:N45" si="5">$D$7+L5*(I5-$D$7)/K5-$D$42*M5*(J5-$D$8)/K5</f>
        <v>257.03027733126095</v>
      </c>
      <c r="O5" s="8">
        <f t="shared" ref="O5:O45" si="6">$D$8+L5*(J5-$D$8)/K5+$D$42*M5*(I5-$D$7)/K5</f>
        <v>-17.542411676489643</v>
      </c>
      <c r="P5" s="8">
        <f t="shared" ref="P5:P45" si="7">-DEGREES(ATAN((I5-N5)/(J5-O5)))</f>
        <v>12.229070726492232</v>
      </c>
      <c r="Q5" s="8">
        <f t="shared" ref="Q5:Q45" si="8">P5-1</f>
        <v>11.229070726492232</v>
      </c>
      <c r="R5" s="8">
        <f t="shared" ref="R5:R45" si="9">(I5-$D$5)*(O5-$D$8)-(J5-$D$6)*(N5-$D$7)</f>
        <v>2412.4365847295476</v>
      </c>
      <c r="S5" s="8">
        <f t="shared" ref="S5:S45" si="10">$D$6+(($D$7-$D$5)*(O5-$D$8)-($D$8-$D$6)*(N5-$D$7))/R5*(J5-$D$6)</f>
        <v>-187.51082550820757</v>
      </c>
      <c r="T5" s="8">
        <f t="shared" ref="T5:T45" si="11">O5-$O$25</f>
        <v>-51.414746729882573</v>
      </c>
    </row>
    <row r="6" spans="3:20">
      <c r="C6" s="2" t="s">
        <v>22</v>
      </c>
      <c r="D6" s="2">
        <v>100</v>
      </c>
      <c r="E6" s="2" t="s">
        <v>20</v>
      </c>
      <c r="F6" s="2" t="s">
        <v>23</v>
      </c>
      <c r="H6" s="7">
        <v>-19</v>
      </c>
      <c r="I6" s="8">
        <f t="shared" si="0"/>
        <v>243.70638191868042</v>
      </c>
      <c r="J6" s="8">
        <f t="shared" si="1"/>
        <v>50.517924499447659</v>
      </c>
      <c r="K6" s="8">
        <f t="shared" si="2"/>
        <v>164.98716527860552</v>
      </c>
      <c r="L6" s="8">
        <f t="shared" si="3"/>
        <v>170.6822606824108</v>
      </c>
      <c r="M6" s="8">
        <f t="shared" si="4"/>
        <v>66.839852545779578</v>
      </c>
      <c r="N6" s="8">
        <f t="shared" si="5"/>
        <v>257.66951964176928</v>
      </c>
      <c r="O6" s="8">
        <f t="shared" si="6"/>
        <v>-15.094808905936794</v>
      </c>
      <c r="P6" s="8">
        <f t="shared" si="7"/>
        <v>12.013969326043405</v>
      </c>
      <c r="Q6" s="8">
        <f t="shared" si="8"/>
        <v>11.013969326043405</v>
      </c>
      <c r="R6" s="8">
        <f t="shared" si="9"/>
        <v>2311.0447538744302</v>
      </c>
      <c r="S6" s="8">
        <f t="shared" si="10"/>
        <v>-185.5979550491457</v>
      </c>
      <c r="T6" s="8">
        <f t="shared" si="11"/>
        <v>-48.967143959329725</v>
      </c>
    </row>
    <row r="7" spans="3:20">
      <c r="C7" s="2" t="s">
        <v>24</v>
      </c>
      <c r="D7" s="2">
        <v>80</v>
      </c>
      <c r="E7" s="2" t="s">
        <v>20</v>
      </c>
      <c r="F7" s="2" t="s">
        <v>25</v>
      </c>
      <c r="H7" s="7">
        <v>-18</v>
      </c>
      <c r="I7" s="8">
        <f t="shared" si="0"/>
        <v>244.54807603365271</v>
      </c>
      <c r="J7" s="8">
        <f t="shared" si="1"/>
        <v>53.033483044094517</v>
      </c>
      <c r="K7" s="8">
        <f t="shared" si="2"/>
        <v>166.15237183838016</v>
      </c>
      <c r="L7" s="8">
        <f t="shared" si="3"/>
        <v>170.64640739128006</v>
      </c>
      <c r="M7" s="8">
        <f t="shared" si="4"/>
        <v>66.931335295579359</v>
      </c>
      <c r="N7" s="8">
        <f t="shared" si="5"/>
        <v>258.2773213960046</v>
      </c>
      <c r="O7" s="8">
        <f t="shared" si="6"/>
        <v>-12.628589888309421</v>
      </c>
      <c r="P7" s="8">
        <f t="shared" si="7"/>
        <v>11.809801727947223</v>
      </c>
      <c r="Q7" s="8">
        <f t="shared" si="8"/>
        <v>10.809801727947223</v>
      </c>
      <c r="R7" s="8">
        <f t="shared" si="9"/>
        <v>2211.1841858161124</v>
      </c>
      <c r="S7" s="8">
        <f t="shared" si="10"/>
        <v>-183.17716384116068</v>
      </c>
      <c r="T7" s="8">
        <f t="shared" si="11"/>
        <v>-46.500924941702351</v>
      </c>
    </row>
    <row r="8" spans="3:20">
      <c r="C8" s="2" t="s">
        <v>26</v>
      </c>
      <c r="D8" s="2">
        <v>30</v>
      </c>
      <c r="E8" s="2" t="s">
        <v>20</v>
      </c>
      <c r="F8" s="2" t="s">
        <v>27</v>
      </c>
      <c r="H8" s="7">
        <v>-17</v>
      </c>
      <c r="I8" s="8">
        <f t="shared" si="0"/>
        <v>245.34573940439648</v>
      </c>
      <c r="J8" s="8">
        <f t="shared" si="1"/>
        <v>55.563348044780994</v>
      </c>
      <c r="K8" s="8">
        <f t="shared" si="2"/>
        <v>167.31018588969772</v>
      </c>
      <c r="L8" s="8">
        <f t="shared" si="3"/>
        <v>170.6193140568399</v>
      </c>
      <c r="M8" s="8">
        <f t="shared" si="4"/>
        <v>67.000370676388258</v>
      </c>
      <c r="N8" s="8">
        <f t="shared" si="5"/>
        <v>258.85301050264133</v>
      </c>
      <c r="O8" s="8">
        <f t="shared" si="6"/>
        <v>-10.144746034095775</v>
      </c>
      <c r="P8" s="8">
        <f t="shared" si="7"/>
        <v>11.616178218445979</v>
      </c>
      <c r="Q8" s="8">
        <f t="shared" si="8"/>
        <v>10.616178218445979</v>
      </c>
      <c r="R8" s="8">
        <f t="shared" si="9"/>
        <v>2112.7611833216388</v>
      </c>
      <c r="S8" s="8">
        <f t="shared" si="10"/>
        <v>-180.20771838284008</v>
      </c>
      <c r="T8" s="8">
        <f t="shared" si="11"/>
        <v>-44.017081087488705</v>
      </c>
    </row>
    <row r="9" spans="3:20">
      <c r="C9" s="2" t="s">
        <v>28</v>
      </c>
      <c r="D9" s="2">
        <v>160</v>
      </c>
      <c r="E9" s="2" t="s">
        <v>20</v>
      </c>
      <c r="F9" s="2" t="s">
        <v>29</v>
      </c>
      <c r="H9" s="7">
        <v>-16</v>
      </c>
      <c r="I9" s="8">
        <f t="shared" si="0"/>
        <v>246.09912905492189</v>
      </c>
      <c r="J9" s="8">
        <f t="shared" si="1"/>
        <v>58.106748880120563</v>
      </c>
      <c r="K9" s="8">
        <f t="shared" si="2"/>
        <v>168.46041079557463</v>
      </c>
      <c r="L9" s="8">
        <f t="shared" si="3"/>
        <v>170.60064656723398</v>
      </c>
      <c r="M9" s="8">
        <f t="shared" si="4"/>
        <v>67.047888787356385</v>
      </c>
      <c r="N9" s="8">
        <f t="shared" si="5"/>
        <v>259.3959592131452</v>
      </c>
      <c r="O9" s="8">
        <f t="shared" si="6"/>
        <v>-7.6442534524930608</v>
      </c>
      <c r="P9" s="8">
        <f t="shared" si="7"/>
        <v>11.432739145307973</v>
      </c>
      <c r="Q9" s="8">
        <f t="shared" si="8"/>
        <v>10.432739145307973</v>
      </c>
      <c r="R9" s="8">
        <f t="shared" si="9"/>
        <v>2015.6873258759688</v>
      </c>
      <c r="S9" s="8">
        <f t="shared" si="10"/>
        <v>-176.64231150748515</v>
      </c>
      <c r="T9" s="8">
        <f t="shared" si="11"/>
        <v>-41.516588505885991</v>
      </c>
    </row>
    <row r="10" spans="3:20">
      <c r="C10" s="2" t="s">
        <v>30</v>
      </c>
      <c r="D10" s="2">
        <v>190</v>
      </c>
      <c r="E10" s="2" t="s">
        <v>20</v>
      </c>
      <c r="F10" s="2" t="s">
        <v>31</v>
      </c>
      <c r="H10" s="7">
        <v>-15</v>
      </c>
      <c r="I10" s="8">
        <f t="shared" si="0"/>
        <v>246.80801549544313</v>
      </c>
      <c r="J10" s="8">
        <f t="shared" si="1"/>
        <v>60.662910805580267</v>
      </c>
      <c r="K10" s="8">
        <f t="shared" si="2"/>
        <v>169.60285414048599</v>
      </c>
      <c r="L10" s="8">
        <f t="shared" si="3"/>
        <v>170.59007770195873</v>
      </c>
      <c r="M10" s="8">
        <f t="shared" si="4"/>
        <v>67.074774614900306</v>
      </c>
      <c r="N10" s="8">
        <f t="shared" si="5"/>
        <v>259.90558184076343</v>
      </c>
      <c r="O10" s="8">
        <f t="shared" si="6"/>
        <v>-5.1280745634650486</v>
      </c>
      <c r="P10" s="8">
        <f t="shared" si="7"/>
        <v>11.259152491257321</v>
      </c>
      <c r="Q10" s="8">
        <f t="shared" si="8"/>
        <v>10.259152491257321</v>
      </c>
      <c r="R10" s="8">
        <f t="shared" si="9"/>
        <v>1919.8790046058321</v>
      </c>
      <c r="S10" s="8">
        <f t="shared" si="10"/>
        <v>-172.42553158452438</v>
      </c>
      <c r="T10" s="8">
        <f t="shared" si="11"/>
        <v>-39.000409616857979</v>
      </c>
    </row>
    <row r="11" spans="3:20">
      <c r="C11" s="2" t="s">
        <v>32</v>
      </c>
      <c r="D11" s="2">
        <v>70</v>
      </c>
      <c r="E11" s="2" t="s">
        <v>20</v>
      </c>
      <c r="F11" s="2" t="s">
        <v>33</v>
      </c>
      <c r="H11" s="7">
        <v>-14</v>
      </c>
      <c r="I11" s="8">
        <f t="shared" si="0"/>
        <v>247.47218279228326</v>
      </c>
      <c r="J11" s="8">
        <f t="shared" si="1"/>
        <v>63.231055189475533</v>
      </c>
      <c r="K11" s="8">
        <f t="shared" si="2"/>
        <v>170.73732760652518</v>
      </c>
      <c r="L11" s="8">
        <f t="shared" si="3"/>
        <v>170.58728707661837</v>
      </c>
      <c r="M11" s="8">
        <f t="shared" si="4"/>
        <v>67.081871529045642</v>
      </c>
      <c r="N11" s="8">
        <f t="shared" si="5"/>
        <v>260.38133271773859</v>
      </c>
      <c r="O11" s="8">
        <f t="shared" si="6"/>
        <v>-2.5971594923925707</v>
      </c>
      <c r="P11" s="8">
        <f t="shared" si="7"/>
        <v>11.095111708897463</v>
      </c>
      <c r="Q11" s="8">
        <f t="shared" si="8"/>
        <v>10.095111708897463</v>
      </c>
      <c r="R11" s="8">
        <f t="shared" si="9"/>
        <v>1825.2570043760525</v>
      </c>
      <c r="S11" s="8">
        <f t="shared" si="10"/>
        <v>-167.4918933196098</v>
      </c>
      <c r="T11" s="8">
        <f t="shared" si="11"/>
        <v>-36.469494545785501</v>
      </c>
    </row>
    <row r="12" spans="3:20">
      <c r="C12" s="2" t="s">
        <v>34</v>
      </c>
      <c r="D12" s="2">
        <v>50</v>
      </c>
      <c r="E12" s="2" t="s">
        <v>20</v>
      </c>
      <c r="F12" s="2" t="s">
        <v>35</v>
      </c>
      <c r="H12" s="7">
        <v>-13</v>
      </c>
      <c r="I12" s="8">
        <f t="shared" si="0"/>
        <v>248.09142863364977</v>
      </c>
      <c r="J12" s="8">
        <f t="shared" si="1"/>
        <v>65.810399750148861</v>
      </c>
      <c r="K12" s="8">
        <f t="shared" si="2"/>
        <v>171.86364685519399</v>
      </c>
      <c r="L12" s="8">
        <f t="shared" si="3"/>
        <v>170.59196107880891</v>
      </c>
      <c r="M12" s="8">
        <f t="shared" si="4"/>
        <v>67.069984458669282</v>
      </c>
      <c r="N12" s="8">
        <f t="shared" si="5"/>
        <v>260.82270436189685</v>
      </c>
      <c r="O12" s="8">
        <f t="shared" si="6"/>
        <v>-5.2447275555593365E-2</v>
      </c>
      <c r="P12" s="8">
        <f t="shared" si="7"/>
        <v>10.940333784647919</v>
      </c>
      <c r="Q12" s="8">
        <f t="shared" si="8"/>
        <v>9.9403337846479189</v>
      </c>
      <c r="R12" s="8">
        <f t="shared" si="9"/>
        <v>1731.746127255803</v>
      </c>
      <c r="S12" s="8">
        <f t="shared" si="10"/>
        <v>-161.76327726054637</v>
      </c>
      <c r="T12" s="8">
        <f t="shared" si="11"/>
        <v>-33.924782328948524</v>
      </c>
    </row>
    <row r="13" spans="3:20">
      <c r="C13" s="2" t="s">
        <v>36</v>
      </c>
      <c r="D13" s="2">
        <v>150</v>
      </c>
      <c r="E13" s="2" t="s">
        <v>20</v>
      </c>
      <c r="F13" s="2" t="s">
        <v>37</v>
      </c>
      <c r="H13" s="7">
        <v>-12</v>
      </c>
      <c r="I13" s="8">
        <f t="shared" si="0"/>
        <v>248.66556439126057</v>
      </c>
      <c r="J13" s="8">
        <f t="shared" si="1"/>
        <v>68.400158794260378</v>
      </c>
      <c r="K13" s="8">
        <f t="shared" si="2"/>
        <v>172.98163141457212</v>
      </c>
      <c r="L13" s="8">
        <f t="shared" si="3"/>
        <v>170.60379279633375</v>
      </c>
      <c r="M13" s="8">
        <f t="shared" si="4"/>
        <v>67.039882782606441</v>
      </c>
      <c r="N13" s="8">
        <f t="shared" si="5"/>
        <v>261.22922582774936</v>
      </c>
      <c r="O13" s="8">
        <f t="shared" si="6"/>
        <v>2.5051330995292034</v>
      </c>
      <c r="P13" s="8">
        <f t="shared" si="7"/>
        <v>10.794557503884931</v>
      </c>
      <c r="Q13" s="8">
        <f t="shared" si="8"/>
        <v>9.7945575038849313</v>
      </c>
      <c r="R13" s="8">
        <f t="shared" si="9"/>
        <v>1639.2748523749256</v>
      </c>
      <c r="S13" s="8">
        <f t="shared" si="10"/>
        <v>-155.14556086450369</v>
      </c>
      <c r="T13" s="8">
        <f t="shared" si="11"/>
        <v>-31.367201953863727</v>
      </c>
    </row>
    <row r="14" spans="3:20">
      <c r="C14" s="2" t="s">
        <v>38</v>
      </c>
      <c r="D14" s="2">
        <v>30</v>
      </c>
      <c r="E14" s="2" t="s">
        <v>20</v>
      </c>
      <c r="F14" s="2" t="s">
        <v>39</v>
      </c>
      <c r="H14" s="7">
        <v>-11</v>
      </c>
      <c r="I14" s="8">
        <f t="shared" si="0"/>
        <v>249.19441517780214</v>
      </c>
      <c r="J14" s="8">
        <f t="shared" si="1"/>
        <v>70.999543456117706</v>
      </c>
      <c r="K14" s="8">
        <f t="shared" si="2"/>
        <v>174.09110457162527</v>
      </c>
      <c r="L14" s="8">
        <f t="shared" si="3"/>
        <v>170.62248193883681</v>
      </c>
      <c r="M14" s="8">
        <f t="shared" si="4"/>
        <v>66.992302968559741</v>
      </c>
      <c r="N14" s="8">
        <f t="shared" si="5"/>
        <v>261.60046122060356</v>
      </c>
      <c r="O14" s="8">
        <f t="shared" si="6"/>
        <v>5.0746617984015359</v>
      </c>
      <c r="P14" s="8">
        <f t="shared" si="7"/>
        <v>10.657541893385323</v>
      </c>
      <c r="Q14" s="8">
        <f t="shared" si="8"/>
        <v>9.6575418933853232</v>
      </c>
      <c r="R14" s="8">
        <f t="shared" si="9"/>
        <v>1547.7750278806816</v>
      </c>
      <c r="S14" s="8">
        <f t="shared" si="10"/>
        <v>-147.52412768289696</v>
      </c>
      <c r="T14" s="8">
        <f t="shared" si="11"/>
        <v>-28.797673254991395</v>
      </c>
    </row>
    <row r="15" spans="3:20">
      <c r="C15" s="2" t="s">
        <v>40</v>
      </c>
      <c r="D15" s="2">
        <v>130</v>
      </c>
      <c r="E15" s="2" t="s">
        <v>20</v>
      </c>
      <c r="F15" s="2" t="s">
        <v>41</v>
      </c>
      <c r="H15" s="7">
        <v>-10</v>
      </c>
      <c r="I15" s="8">
        <f t="shared" si="0"/>
        <v>249.6778199002018</v>
      </c>
      <c r="J15" s="8">
        <f t="shared" si="1"/>
        <v>73.607761937972029</v>
      </c>
      <c r="K15" s="8">
        <f t="shared" si="2"/>
        <v>175.19189326942089</v>
      </c>
      <c r="L15" s="8">
        <f t="shared" si="3"/>
        <v>170.6477347538337</v>
      </c>
      <c r="M15" s="8">
        <f t="shared" si="4"/>
        <v>66.927950987500054</v>
      </c>
      <c r="N15" s="8">
        <f t="shared" si="5"/>
        <v>261.93600835502247</v>
      </c>
      <c r="O15" s="8">
        <f t="shared" si="6"/>
        <v>7.6552273710117333</v>
      </c>
      <c r="P15" s="8">
        <f t="shared" si="7"/>
        <v>10.529064820462489</v>
      </c>
      <c r="Q15" s="8">
        <f t="shared" si="8"/>
        <v>9.529064820462489</v>
      </c>
      <c r="R15" s="8">
        <f t="shared" si="9"/>
        <v>1457.1815912881989</v>
      </c>
      <c r="S15" s="8">
        <f t="shared" si="10"/>
        <v>-138.75779406807891</v>
      </c>
      <c r="T15" s="8">
        <f t="shared" si="11"/>
        <v>-26.217107682381197</v>
      </c>
    </row>
    <row r="16" spans="3:20">
      <c r="C16" s="2" t="s">
        <v>6</v>
      </c>
      <c r="D16" s="2">
        <v>10</v>
      </c>
      <c r="E16" s="2" t="s">
        <v>42</v>
      </c>
      <c r="F16" s="2" t="s">
        <v>43</v>
      </c>
      <c r="H16" s="7">
        <v>-9</v>
      </c>
      <c r="I16" s="8">
        <f t="shared" si="0"/>
        <v>250.11563130869825</v>
      </c>
      <c r="J16" s="8">
        <f t="shared" si="1"/>
        <v>76.224019751207393</v>
      </c>
      <c r="K16" s="8">
        <f t="shared" si="2"/>
        <v>176.28382800902915</v>
      </c>
      <c r="L16" s="8">
        <f t="shared" si="3"/>
        <v>170.67926393802497</v>
      </c>
      <c r="M16" s="8">
        <f t="shared" si="4"/>
        <v>66.84750452764861</v>
      </c>
      <c r="N16" s="8">
        <f t="shared" si="5"/>
        <v>262.23549754138867</v>
      </c>
      <c r="O16" s="8">
        <f t="shared" si="6"/>
        <v>10.245926095042364</v>
      </c>
      <c r="P16" s="8">
        <f t="shared" si="7"/>
        <v>10.408921730965417</v>
      </c>
      <c r="Q16" s="8">
        <f t="shared" si="8"/>
        <v>9.4089217309654174</v>
      </c>
      <c r="R16" s="8">
        <f t="shared" si="9"/>
        <v>1367.4323150115524</v>
      </c>
      <c r="S16" s="8">
        <f t="shared" si="10"/>
        <v>-128.67046310033567</v>
      </c>
      <c r="T16" s="8">
        <f t="shared" si="11"/>
        <v>-23.626408958350567</v>
      </c>
    </row>
    <row r="17" spans="3:20">
      <c r="C17" s="3"/>
      <c r="D17" s="3"/>
      <c r="E17" s="3"/>
      <c r="F17" s="3"/>
      <c r="H17" s="7">
        <v>-8</v>
      </c>
      <c r="I17" s="8">
        <f t="shared" si="0"/>
        <v>250.50771604169532</v>
      </c>
      <c r="J17" s="8">
        <f t="shared" si="1"/>
        <v>78.847519958349636</v>
      </c>
      <c r="K17" s="8">
        <f t="shared" si="2"/>
        <v>177.36674275589763</v>
      </c>
      <c r="L17" s="8">
        <f t="shared" si="3"/>
        <v>170.71678854468647</v>
      </c>
      <c r="M17" s="8">
        <f t="shared" si="4"/>
        <v>66.751615029067281</v>
      </c>
      <c r="N17" s="8">
        <f t="shared" si="5"/>
        <v>262.49859048638177</v>
      </c>
      <c r="O17" s="8">
        <f t="shared" si="6"/>
        <v>12.845861418190424</v>
      </c>
      <c r="P17" s="8">
        <f t="shared" si="7"/>
        <v>10.296924510661427</v>
      </c>
      <c r="Q17" s="8">
        <f t="shared" si="8"/>
        <v>9.2969245106614267</v>
      </c>
      <c r="R17" s="8">
        <f t="shared" si="9"/>
        <v>1278.4675742816275</v>
      </c>
      <c r="S17" s="8">
        <f t="shared" si="10"/>
        <v>-117.03944829266376</v>
      </c>
      <c r="T17" s="8">
        <f t="shared" si="11"/>
        <v>-21.026473635202507</v>
      </c>
    </row>
    <row r="18" spans="3:20">
      <c r="C18" s="2" t="s">
        <v>44</v>
      </c>
      <c r="D18" s="2"/>
      <c r="E18" s="2"/>
      <c r="F18" s="2"/>
      <c r="H18" s="7">
        <v>-7</v>
      </c>
      <c r="I18" s="8">
        <f t="shared" si="0"/>
        <v>250.85395466638505</v>
      </c>
      <c r="J18" s="8">
        <f t="shared" si="1"/>
        <v>81.477463415821234</v>
      </c>
      <c r="K18" s="8">
        <f t="shared" si="2"/>
        <v>178.44047485049566</v>
      </c>
      <c r="L18" s="8">
        <f t="shared" si="3"/>
        <v>170.76003388785281</v>
      </c>
      <c r="M18" s="8">
        <f t="shared" si="4"/>
        <v>66.640909557263342</v>
      </c>
      <c r="N18" s="8">
        <f t="shared" si="5"/>
        <v>262.72497929494324</v>
      </c>
      <c r="O18" s="8">
        <f t="shared" si="6"/>
        <v>15.454143488176264</v>
      </c>
      <c r="P18" s="8">
        <f t="shared" si="7"/>
        <v>10.192900456531634</v>
      </c>
      <c r="Q18" s="8">
        <f t="shared" si="8"/>
        <v>9.1929004565316337</v>
      </c>
      <c r="R18" s="8">
        <f t="shared" si="9"/>
        <v>1190.2301350154939</v>
      </c>
      <c r="S18" s="8">
        <f t="shared" si="10"/>
        <v>-103.5788071799978</v>
      </c>
      <c r="T18" s="8">
        <f t="shared" si="11"/>
        <v>-18.418191565216667</v>
      </c>
    </row>
    <row r="19" spans="3:20">
      <c r="C19" s="2" t="s">
        <v>45</v>
      </c>
      <c r="D19" s="2"/>
      <c r="E19" s="2"/>
      <c r="F19" s="2"/>
      <c r="H19" s="7">
        <v>-6</v>
      </c>
      <c r="I19" s="8">
        <f t="shared" si="0"/>
        <v>251.15424171512836</v>
      </c>
      <c r="J19" s="8">
        <f t="shared" si="1"/>
        <v>84.113049017368212</v>
      </c>
      <c r="K19" s="8">
        <f t="shared" si="2"/>
        <v>179.50486492303401</v>
      </c>
      <c r="L19" s="8">
        <f t="shared" si="3"/>
        <v>170.80873144393499</v>
      </c>
      <c r="M19" s="8">
        <f t="shared" si="4"/>
        <v>66.515992531974504</v>
      </c>
      <c r="N19" s="8">
        <f t="shared" si="5"/>
        <v>262.91438556280644</v>
      </c>
      <c r="O19" s="8">
        <f t="shared" si="6"/>
        <v>18.069888760745762</v>
      </c>
      <c r="P19" s="8">
        <f t="shared" si="7"/>
        <v>10.096691346211756</v>
      </c>
      <c r="Q19" s="8">
        <f t="shared" si="8"/>
        <v>9.096691346211756</v>
      </c>
      <c r="R19" s="8">
        <f t="shared" si="9"/>
        <v>1102.664959507913</v>
      </c>
      <c r="S19" s="8">
        <f t="shared" si="10"/>
        <v>-87.915006715906088</v>
      </c>
      <c r="T19" s="8">
        <f t="shared" si="11"/>
        <v>-15.802446292647168</v>
      </c>
    </row>
    <row r="20" spans="3:20">
      <c r="C20" s="2" t="s">
        <v>46</v>
      </c>
      <c r="D20" s="2"/>
      <c r="E20" s="2"/>
      <c r="F20" s="2"/>
      <c r="H20" s="7">
        <v>-5</v>
      </c>
      <c r="I20" s="8">
        <f t="shared" si="0"/>
        <v>251.40848571758124</v>
      </c>
      <c r="J20" s="8">
        <f t="shared" si="1"/>
        <v>86.753473938084866</v>
      </c>
      <c r="K20" s="8">
        <f t="shared" si="2"/>
        <v>180.55975681207352</v>
      </c>
      <c r="L20" s="8">
        <f t="shared" si="3"/>
        <v>170.86261875134875</v>
      </c>
      <c r="M20" s="8">
        <f t="shared" si="4"/>
        <v>66.377447325362255</v>
      </c>
      <c r="N20" s="8">
        <f t="shared" si="5"/>
        <v>263.06655954997046</v>
      </c>
      <c r="O20" s="8">
        <f t="shared" si="6"/>
        <v>20.692219677220585</v>
      </c>
      <c r="P20" s="8">
        <f t="shared" si="7"/>
        <v>10.008152595277592</v>
      </c>
      <c r="Q20" s="8">
        <f t="shared" si="8"/>
        <v>9.0081525952775916</v>
      </c>
      <c r="R20" s="8">
        <f t="shared" si="9"/>
        <v>1015.719028079892</v>
      </c>
      <c r="S20" s="8">
        <f t="shared" si="10"/>
        <v>-69.550463249771298</v>
      </c>
      <c r="T20" s="8">
        <f t="shared" si="11"/>
        <v>-13.180115376172346</v>
      </c>
    </row>
    <row r="21" spans="3:20">
      <c r="C21" s="2" t="s">
        <v>47</v>
      </c>
      <c r="D21" s="2"/>
      <c r="E21" s="2"/>
      <c r="F21" s="2"/>
      <c r="H21" s="7">
        <v>-4</v>
      </c>
      <c r="I21" s="8">
        <f t="shared" si="0"/>
        <v>251.61660922855759</v>
      </c>
      <c r="J21" s="8">
        <f t="shared" si="1"/>
        <v>89.39793387896195</v>
      </c>
      <c r="K21" s="8">
        <f t="shared" si="2"/>
        <v>181.60499748684498</v>
      </c>
      <c r="L21" s="8">
        <f t="shared" si="3"/>
        <v>170.92143930866746</v>
      </c>
      <c r="M21" s="8">
        <f t="shared" si="4"/>
        <v>66.225837742179593</v>
      </c>
      <c r="N21" s="8">
        <f t="shared" si="5"/>
        <v>263.18127942661272</v>
      </c>
      <c r="O21" s="8">
        <f t="shared" si="6"/>
        <v>23.320264404242891</v>
      </c>
      <c r="P21" s="8">
        <f t="shared" si="7"/>
        <v>9.9271524933254724</v>
      </c>
      <c r="Q21" s="8">
        <f t="shared" si="8"/>
        <v>8.9271524933254724</v>
      </c>
      <c r="R21" s="8">
        <f t="shared" si="9"/>
        <v>929.3411750453032</v>
      </c>
      <c r="S21" s="8">
        <f t="shared" si="10"/>
        <v>-47.807270592158886</v>
      </c>
      <c r="T21" s="8">
        <f t="shared" si="11"/>
        <v>-10.552070649150039</v>
      </c>
    </row>
    <row r="22" spans="3:20">
      <c r="C22" s="2"/>
      <c r="D22" s="2"/>
      <c r="E22" s="2"/>
      <c r="F22" s="2"/>
      <c r="H22" s="7">
        <v>-3</v>
      </c>
      <c r="I22" s="8">
        <f t="shared" si="0"/>
        <v>251.77854885161986</v>
      </c>
      <c r="J22" s="8">
        <f t="shared" si="1"/>
        <v>92.045623311884015</v>
      </c>
      <c r="K22" s="8">
        <f t="shared" si="2"/>
        <v>182.64043697310998</v>
      </c>
      <c r="L22" s="8">
        <f t="shared" si="3"/>
        <v>170.98494247175975</v>
      </c>
      <c r="M22" s="8">
        <f t="shared" si="4"/>
        <v>66.061709393028892</v>
      </c>
      <c r="N22" s="8">
        <f t="shared" si="5"/>
        <v>263.25835058390402</v>
      </c>
      <c r="O22" s="8">
        <f t="shared" si="6"/>
        <v>25.953156629307763</v>
      </c>
      <c r="P22" s="8">
        <f t="shared" si="7"/>
        <v>9.8535715108811956</v>
      </c>
      <c r="Q22" s="8">
        <f t="shared" si="8"/>
        <v>8.8535715108811956</v>
      </c>
      <c r="R22" s="8">
        <f t="shared" si="9"/>
        <v>843.48193755372699</v>
      </c>
      <c r="S22" s="8">
        <f t="shared" si="10"/>
        <v>-21.737306259659803</v>
      </c>
      <c r="T22" s="8">
        <f t="shared" si="11"/>
        <v>-7.9191784240851675</v>
      </c>
    </row>
    <row r="23" spans="3:20">
      <c r="C23" s="2"/>
      <c r="D23" s="2"/>
      <c r="E23" s="2"/>
      <c r="F23" s="2"/>
      <c r="H23" s="7">
        <v>-2</v>
      </c>
      <c r="I23" s="8">
        <f t="shared" si="0"/>
        <v>251.89425525839013</v>
      </c>
      <c r="J23" s="8">
        <f t="shared" si="1"/>
        <v>94.695735725001072</v>
      </c>
      <c r="K23" s="8">
        <f t="shared" si="2"/>
        <v>183.66592828240016</v>
      </c>
      <c r="L23" s="8">
        <f t="shared" si="3"/>
        <v>171.05288335032134</v>
      </c>
      <c r="M23" s="8">
        <f t="shared" si="4"/>
        <v>65.885590970570746</v>
      </c>
      <c r="N23" s="8">
        <f t="shared" si="5"/>
        <v>263.29760500302513</v>
      </c>
      <c r="O23" s="8">
        <f t="shared" si="6"/>
        <v>28.590035406484475</v>
      </c>
      <c r="P23" s="8">
        <f t="shared" si="7"/>
        <v>9.787301670100236</v>
      </c>
      <c r="Q23" s="8">
        <f t="shared" si="8"/>
        <v>8.787301670100236</v>
      </c>
      <c r="R23" s="8">
        <f t="shared" si="9"/>
        <v>758.09341603767143</v>
      </c>
      <c r="S23" s="8">
        <f t="shared" si="10"/>
        <v>10.027312324280459</v>
      </c>
      <c r="T23" s="8">
        <f t="shared" si="11"/>
        <v>-5.2822996469084558</v>
      </c>
    </row>
    <row r="24" spans="3:20">
      <c r="H24" s="7">
        <v>-1</v>
      </c>
      <c r="I24" s="8">
        <f t="shared" si="0"/>
        <v>251.96369320357596</v>
      </c>
      <c r="J24" s="8">
        <f t="shared" si="1"/>
        <v>97.347463868399842</v>
      </c>
      <c r="K24" s="8">
        <f t="shared" si="2"/>
        <v>184.68132734448011</v>
      </c>
      <c r="L24" s="8">
        <f t="shared" si="3"/>
        <v>171.12502270416508</v>
      </c>
      <c r="M24" s="8">
        <f t="shared" si="4"/>
        <v>65.697995437448327</v>
      </c>
      <c r="N24" s="8">
        <f t="shared" si="5"/>
        <v>263.29890067641236</v>
      </c>
      <c r="O24" s="8">
        <f t="shared" si="6"/>
        <v>31.230045047428305</v>
      </c>
      <c r="P24" s="8">
        <f t="shared" si="7"/>
        <v>9.7282459730292103</v>
      </c>
      <c r="Q24" s="8">
        <f t="shared" si="8"/>
        <v>8.7282459730292103</v>
      </c>
      <c r="R24" s="8">
        <f t="shared" si="9"/>
        <v>673.12914514074544</v>
      </c>
      <c r="S24" s="8">
        <f t="shared" si="10"/>
        <v>49.535341841222156</v>
      </c>
      <c r="T24" s="8">
        <f t="shared" si="11"/>
        <v>-2.6422900059646253</v>
      </c>
    </row>
    <row r="25" spans="3:20">
      <c r="C25" s="15" t="s">
        <v>48</v>
      </c>
      <c r="D25" s="13"/>
      <c r="E25" s="13"/>
      <c r="F25" s="14"/>
      <c r="H25" s="7">
        <v>0</v>
      </c>
      <c r="I25" s="8">
        <f t="shared" si="0"/>
        <v>251.98684153570665</v>
      </c>
      <c r="J25" s="8">
        <f t="shared" si="1"/>
        <v>100</v>
      </c>
      <c r="K25" s="8">
        <f t="shared" si="2"/>
        <v>185.68649294288551</v>
      </c>
      <c r="L25" s="8">
        <f t="shared" si="3"/>
        <v>171.20112683959297</v>
      </c>
      <c r="M25" s="8">
        <f t="shared" si="4"/>
        <v>65.499421133729044</v>
      </c>
      <c r="N25" s="8">
        <f t="shared" si="5"/>
        <v>263.26212107589026</v>
      </c>
      <c r="O25" s="8">
        <f t="shared" si="6"/>
        <v>33.872335053392931</v>
      </c>
      <c r="P25" s="8">
        <f t="shared" si="7"/>
        <v>9.6763178818957858</v>
      </c>
      <c r="Q25" s="8">
        <f t="shared" si="8"/>
        <v>8.6763178818957858</v>
      </c>
      <c r="R25" s="8">
        <f t="shared" si="9"/>
        <v>588.5439741331935</v>
      </c>
      <c r="S25" s="8">
        <f t="shared" si="10"/>
        <v>100</v>
      </c>
      <c r="T25" s="8">
        <f t="shared" si="11"/>
        <v>0</v>
      </c>
    </row>
    <row r="26" spans="3:20">
      <c r="C26" s="2" t="s">
        <v>49</v>
      </c>
      <c r="D26" s="2" t="s">
        <v>3</v>
      </c>
      <c r="E26" s="2" t="s">
        <v>4</v>
      </c>
      <c r="F26" s="2" t="s">
        <v>5</v>
      </c>
      <c r="H26" s="7">
        <v>1</v>
      </c>
      <c r="I26" s="8">
        <f t="shared" si="0"/>
        <v>251.96369320357596</v>
      </c>
      <c r="J26" s="8">
        <f t="shared" si="1"/>
        <v>102.65253613160016</v>
      </c>
      <c r="K26" s="8">
        <f t="shared" si="2"/>
        <v>186.68128665339509</v>
      </c>
      <c r="L26" s="8">
        <f t="shared" si="3"/>
        <v>171.2809675061344</v>
      </c>
      <c r="M26" s="8">
        <f t="shared" si="4"/>
        <v>65.290352810828978</v>
      </c>
      <c r="N26" s="8">
        <f t="shared" si="5"/>
        <v>263.18717466289917</v>
      </c>
      <c r="O26" s="8">
        <f t="shared" si="6"/>
        <v>36.516060084472919</v>
      </c>
      <c r="P26" s="8">
        <f t="shared" si="7"/>
        <v>9.6314408465004711</v>
      </c>
      <c r="Q26" s="8">
        <f t="shared" si="8"/>
        <v>8.6314408465004711</v>
      </c>
      <c r="R26" s="8">
        <f t="shared" si="9"/>
        <v>504.29395593382083</v>
      </c>
      <c r="S26" s="8">
        <f t="shared" si="10"/>
        <v>166.76276779125169</v>
      </c>
      <c r="T26" s="8">
        <f t="shared" si="11"/>
        <v>2.6437250310799882</v>
      </c>
    </row>
    <row r="27" spans="3:20">
      <c r="C27" s="2" t="s">
        <v>50</v>
      </c>
      <c r="D27" s="2">
        <f>D13-D12</f>
        <v>100</v>
      </c>
      <c r="E27" s="2" t="s">
        <v>20</v>
      </c>
      <c r="F27" s="2" t="s">
        <v>51</v>
      </c>
      <c r="H27" s="7">
        <v>2</v>
      </c>
      <c r="I27" s="8">
        <f t="shared" si="0"/>
        <v>251.89425525839013</v>
      </c>
      <c r="J27" s="8">
        <f t="shared" si="1"/>
        <v>105.30426427499893</v>
      </c>
      <c r="K27" s="8">
        <f t="shared" si="2"/>
        <v>187.66557278530195</v>
      </c>
      <c r="L27" s="8">
        <f t="shared" si="3"/>
        <v>171.36432179390366</v>
      </c>
      <c r="M27" s="8">
        <f t="shared" si="4"/>
        <v>65.071262598134908</v>
      </c>
      <c r="N27" s="8">
        <f t="shared" si="5"/>
        <v>263.07399443650547</v>
      </c>
      <c r="O27" s="8">
        <f t="shared" si="6"/>
        <v>39.160379962771657</v>
      </c>
      <c r="P27" s="8">
        <f t="shared" si="7"/>
        <v>9.5935478743113354</v>
      </c>
      <c r="Q27" s="8">
        <f t="shared" si="8"/>
        <v>8.5935478743113354</v>
      </c>
      <c r="R27" s="8">
        <f t="shared" si="9"/>
        <v>420.33624395817174</v>
      </c>
      <c r="S27" s="8">
        <f t="shared" si="10"/>
        <v>259.40409333103401</v>
      </c>
      <c r="T27" s="8">
        <f t="shared" si="11"/>
        <v>5.2880449093787263</v>
      </c>
    </row>
    <row r="28" spans="3:20">
      <c r="C28" s="2" t="s">
        <v>52</v>
      </c>
      <c r="D28" s="2">
        <f>D15-D14</f>
        <v>100</v>
      </c>
      <c r="E28" s="2" t="s">
        <v>20</v>
      </c>
      <c r="F28" s="2" t="s">
        <v>53</v>
      </c>
      <c r="H28" s="7">
        <v>3</v>
      </c>
      <c r="I28" s="8">
        <f t="shared" si="0"/>
        <v>251.77854885161986</v>
      </c>
      <c r="J28" s="8">
        <f t="shared" si="1"/>
        <v>107.95437668811599</v>
      </c>
      <c r="K28" s="8">
        <f t="shared" si="2"/>
        <v>188.63921832535522</v>
      </c>
      <c r="L28" s="8">
        <f t="shared" si="3"/>
        <v>171.45097203179694</v>
      </c>
      <c r="M28" s="8">
        <f t="shared" si="4"/>
        <v>64.842610907889721</v>
      </c>
      <c r="N28" s="8">
        <f t="shared" si="5"/>
        <v>262.92253751529819</v>
      </c>
      <c r="O28" s="8">
        <f t="shared" si="6"/>
        <v>41.804459706582229</v>
      </c>
      <c r="P28" s="8">
        <f t="shared" si="7"/>
        <v>9.562581139320443</v>
      </c>
      <c r="Q28" s="8">
        <f t="shared" si="8"/>
        <v>8.562581139320443</v>
      </c>
      <c r="R28" s="8">
        <f t="shared" si="9"/>
        <v>336.62899609975943</v>
      </c>
      <c r="S28" s="8">
        <f t="shared" si="10"/>
        <v>396.98716553295833</v>
      </c>
      <c r="T28" s="8">
        <f t="shared" si="11"/>
        <v>7.9321246531892982</v>
      </c>
    </row>
    <row r="29" spans="3:20">
      <c r="C29" s="2" t="s">
        <v>54</v>
      </c>
      <c r="D29" s="2">
        <f>SQRT((D9^2)-(D27/2)^2)</f>
        <v>151.98684153570665</v>
      </c>
      <c r="E29" s="2" t="s">
        <v>20</v>
      </c>
      <c r="F29" s="2" t="s">
        <v>55</v>
      </c>
      <c r="H29" s="7">
        <v>4</v>
      </c>
      <c r="I29" s="8">
        <f t="shared" si="0"/>
        <v>251.61660922855759</v>
      </c>
      <c r="J29" s="8">
        <f t="shared" si="1"/>
        <v>110.60206612103805</v>
      </c>
      <c r="K29" s="8">
        <f t="shared" si="2"/>
        <v>189.60209288424966</v>
      </c>
      <c r="L29" s="8">
        <f t="shared" si="3"/>
        <v>171.54070568672313</v>
      </c>
      <c r="M29" s="8">
        <f t="shared" si="4"/>
        <v>64.60484728331943</v>
      </c>
      <c r="N29" s="8">
        <f t="shared" si="5"/>
        <v>262.7327847496411</v>
      </c>
      <c r="O29" s="8">
        <f t="shared" si="6"/>
        <v>44.447469593022966</v>
      </c>
      <c r="P29" s="8">
        <f t="shared" si="7"/>
        <v>9.5384916261219512</v>
      </c>
      <c r="Q29" s="8">
        <f t="shared" si="8"/>
        <v>8.5384916261219512</v>
      </c>
      <c r="R29" s="8">
        <f t="shared" si="9"/>
        <v>253.13128522972261</v>
      </c>
      <c r="S29" s="8">
        <f t="shared" si="10"/>
        <v>623.64406070694258</v>
      </c>
      <c r="T29" s="8">
        <f t="shared" si="11"/>
        <v>10.575134539630035</v>
      </c>
    </row>
    <row r="30" spans="3:20">
      <c r="C30" s="2" t="s">
        <v>56</v>
      </c>
      <c r="D30" s="2">
        <f>SQRT((D10^2)-(D28/2)^2)</f>
        <v>183.30302779823359</v>
      </c>
      <c r="E30" s="2" t="s">
        <v>20</v>
      </c>
      <c r="F30" s="2" t="s">
        <v>57</v>
      </c>
      <c r="H30" s="7">
        <v>5</v>
      </c>
      <c r="I30" s="8">
        <f t="shared" si="0"/>
        <v>251.40848571758124</v>
      </c>
      <c r="J30" s="8">
        <f t="shared" si="1"/>
        <v>113.24652606191513</v>
      </c>
      <c r="K30" s="8">
        <f t="shared" si="2"/>
        <v>190.55406864554578</v>
      </c>
      <c r="L30" s="8">
        <f t="shared" si="3"/>
        <v>171.63331526403582</v>
      </c>
      <c r="M30" s="8">
        <f t="shared" si="4"/>
        <v>64.35841119446691</v>
      </c>
      <c r="N30" s="8">
        <f t="shared" si="5"/>
        <v>262.50474036106687</v>
      </c>
      <c r="O30" s="8">
        <f t="shared" si="6"/>
        <v>47.08858524687065</v>
      </c>
      <c r="P30" s="8">
        <f t="shared" si="7"/>
        <v>9.521238806021131</v>
      </c>
      <c r="Q30" s="8">
        <f t="shared" si="8"/>
        <v>8.521238806021131</v>
      </c>
      <c r="R30" s="8">
        <f t="shared" si="9"/>
        <v>169.80301566855769</v>
      </c>
      <c r="S30" s="8">
        <f t="shared" si="10"/>
        <v>1069.9561431695702</v>
      </c>
      <c r="T30" s="8">
        <f t="shared" si="11"/>
        <v>13.21625019347772</v>
      </c>
    </row>
    <row r="31" spans="3:20">
      <c r="C31" s="2" t="s">
        <v>58</v>
      </c>
      <c r="D31" s="2">
        <f>(D12+D13)/2</f>
        <v>100</v>
      </c>
      <c r="E31" s="2" t="s">
        <v>20</v>
      </c>
      <c r="F31" s="2" t="s">
        <v>59</v>
      </c>
      <c r="H31" s="7">
        <v>6</v>
      </c>
      <c r="I31" s="8">
        <f t="shared" si="0"/>
        <v>251.15424171512836</v>
      </c>
      <c r="J31" s="8">
        <f t="shared" si="1"/>
        <v>115.88695098263179</v>
      </c>
      <c r="K31" s="8">
        <f t="shared" si="2"/>
        <v>191.49502031690949</v>
      </c>
      <c r="L31" s="8">
        <f t="shared" si="3"/>
        <v>171.72859820931305</v>
      </c>
      <c r="M31" s="8">
        <f t="shared" si="4"/>
        <v>64.103732785730315</v>
      </c>
      <c r="N31" s="8">
        <f t="shared" si="5"/>
        <v>262.23843160587455</v>
      </c>
      <c r="O31" s="8">
        <f t="shared" si="6"/>
        <v>49.726987753607297</v>
      </c>
      <c r="P31" s="8">
        <f t="shared" si="7"/>
        <v>9.510790342286521</v>
      </c>
      <c r="Q31" s="8">
        <f t="shared" si="8"/>
        <v>8.510790342286521</v>
      </c>
      <c r="R31" s="8">
        <f t="shared" si="9"/>
        <v>86.604845145909621</v>
      </c>
      <c r="S31" s="8">
        <f t="shared" si="10"/>
        <v>2367.7354601209731</v>
      </c>
      <c r="T31" s="8">
        <f t="shared" si="11"/>
        <v>15.854652700214366</v>
      </c>
    </row>
    <row r="32" spans="3:20">
      <c r="C32" s="2" t="s">
        <v>60</v>
      </c>
      <c r="D32" s="2">
        <f>(D14+D15)/2</f>
        <v>80</v>
      </c>
      <c r="E32" s="2" t="s">
        <v>20</v>
      </c>
      <c r="F32" s="2" t="s">
        <v>61</v>
      </c>
      <c r="H32" s="7">
        <v>7</v>
      </c>
      <c r="I32" s="8">
        <f t="shared" si="0"/>
        <v>250.85395466638505</v>
      </c>
      <c r="J32" s="8">
        <f t="shared" si="1"/>
        <v>118.52253658417877</v>
      </c>
      <c r="K32" s="8">
        <f t="shared" si="2"/>
        <v>192.42482508356457</v>
      </c>
      <c r="L32" s="8">
        <f t="shared" si="3"/>
        <v>171.82635681161</v>
      </c>
      <c r="M32" s="8">
        <f t="shared" si="4"/>
        <v>63.84123357869332</v>
      </c>
      <c r="N32" s="8">
        <f t="shared" si="5"/>
        <v>261.93390846023465</v>
      </c>
      <c r="O32" s="8">
        <f t="shared" si="6"/>
        <v>52.361863794929121</v>
      </c>
      <c r="P32" s="8">
        <f t="shared" si="7"/>
        <v>9.5071218219256117</v>
      </c>
      <c r="Q32" s="8">
        <f t="shared" si="8"/>
        <v>8.5071218219256117</v>
      </c>
      <c r="R32" s="8">
        <f t="shared" si="9"/>
        <v>3.4981118187879474</v>
      </c>
      <c r="S32" s="8">
        <f t="shared" si="10"/>
        <v>65165.802999183754</v>
      </c>
      <c r="T32" s="8">
        <f t="shared" si="11"/>
        <v>18.489528741536191</v>
      </c>
    </row>
    <row r="33" spans="3:20">
      <c r="C33" s="2" t="s">
        <v>62</v>
      </c>
      <c r="D33" s="2">
        <f>D31-D32</f>
        <v>20</v>
      </c>
      <c r="E33" s="2" t="s">
        <v>20</v>
      </c>
      <c r="F33" s="2" t="s">
        <v>63</v>
      </c>
      <c r="H33" s="7">
        <v>8</v>
      </c>
      <c r="I33" s="8">
        <f t="shared" si="0"/>
        <v>250.50771604169532</v>
      </c>
      <c r="J33" s="8">
        <f t="shared" si="1"/>
        <v>121.15248004165036</v>
      </c>
      <c r="K33" s="8">
        <f t="shared" si="2"/>
        <v>193.34336256385652</v>
      </c>
      <c r="L33" s="8">
        <f t="shared" si="3"/>
        <v>171.92639810829195</v>
      </c>
      <c r="M33" s="8">
        <f t="shared" si="4"/>
        <v>63.571327133457743</v>
      </c>
      <c r="N33" s="8">
        <f t="shared" si="5"/>
        <v>261.59124332431145</v>
      </c>
      <c r="O33" s="8">
        <f t="shared" si="6"/>
        <v>54.992405805178102</v>
      </c>
      <c r="P33" s="8">
        <f t="shared" si="7"/>
        <v>9.5102165115946331</v>
      </c>
      <c r="Q33" s="8">
        <f t="shared" si="8"/>
        <v>8.5102165115946331</v>
      </c>
      <c r="R33" s="8">
        <f t="shared" si="9"/>
        <v>-79.555234031409327</v>
      </c>
      <c r="S33" s="8">
        <f t="shared" si="10"/>
        <v>-3146.8552994162451</v>
      </c>
      <c r="T33" s="8">
        <f t="shared" si="11"/>
        <v>21.120070751785171</v>
      </c>
    </row>
    <row r="34" spans="3:20">
      <c r="C34" s="2" t="s">
        <v>64</v>
      </c>
      <c r="D34" s="2">
        <f>SQRT((D11^2)-(D33^2))</f>
        <v>67.082039324993687</v>
      </c>
      <c r="E34" s="2" t="s">
        <v>20</v>
      </c>
      <c r="F34" s="2" t="s">
        <v>65</v>
      </c>
      <c r="G34" s="3"/>
      <c r="H34" s="7">
        <v>9</v>
      </c>
      <c r="I34" s="8">
        <f t="shared" si="0"/>
        <v>250.11563130869825</v>
      </c>
      <c r="J34" s="8">
        <f t="shared" si="1"/>
        <v>123.77598024879261</v>
      </c>
      <c r="K34" s="8">
        <f t="shared" si="2"/>
        <v>194.25051476683117</v>
      </c>
      <c r="L34" s="8">
        <f t="shared" si="3"/>
        <v>172.02853379153788</v>
      </c>
      <c r="M34" s="8">
        <f t="shared" si="4"/>
        <v>63.294419671355705</v>
      </c>
      <c r="N34" s="8">
        <f t="shared" si="5"/>
        <v>261.21053074309577</v>
      </c>
      <c r="O34" s="8">
        <f t="shared" si="6"/>
        <v>57.617812147335911</v>
      </c>
      <c r="P34" s="8">
        <f t="shared" si="7"/>
        <v>9.5200651354569228</v>
      </c>
      <c r="Q34" s="8">
        <f t="shared" si="8"/>
        <v>8.5200651354569228</v>
      </c>
      <c r="R34" s="8">
        <f t="shared" si="9"/>
        <v>-162.59269395870433</v>
      </c>
      <c r="S34" s="8">
        <f t="shared" si="10"/>
        <v>-1674.1218368528907</v>
      </c>
      <c r="T34" s="8">
        <f t="shared" si="11"/>
        <v>23.745477093942981</v>
      </c>
    </row>
    <row r="35" spans="3:20">
      <c r="C35" s="2" t="s">
        <v>7</v>
      </c>
      <c r="D35" s="2">
        <f>D5+D29*COS(RADIANS(D16))</f>
        <v>249.6778199002018</v>
      </c>
      <c r="E35" s="2" t="s">
        <v>20</v>
      </c>
      <c r="F35" s="2" t="s">
        <v>66</v>
      </c>
      <c r="H35" s="7">
        <v>10</v>
      </c>
      <c r="I35" s="8">
        <f t="shared" si="0"/>
        <v>249.6778199002018</v>
      </c>
      <c r="J35" s="8">
        <f t="shared" si="1"/>
        <v>126.39223806202797</v>
      </c>
      <c r="K35" s="8">
        <f t="shared" si="2"/>
        <v>195.14616605173669</v>
      </c>
      <c r="L35" s="8">
        <f t="shared" si="3"/>
        <v>172.13258011659028</v>
      </c>
      <c r="M35" s="8">
        <f t="shared" si="4"/>
        <v>63.010910661611803</v>
      </c>
      <c r="N35" s="8">
        <f t="shared" si="5"/>
        <v>260.79188714179276</v>
      </c>
      <c r="O35" s="8">
        <f t="shared" si="6"/>
        <v>60.237287307383838</v>
      </c>
      <c r="P35" s="8">
        <f t="shared" si="7"/>
        <v>9.5366656729775681</v>
      </c>
      <c r="Q35" s="8">
        <f t="shared" si="8"/>
        <v>8.5366656729775681</v>
      </c>
      <c r="R35" s="8">
        <f t="shared" si="9"/>
        <v>-245.65128126423224</v>
      </c>
      <c r="S35" s="8">
        <f t="shared" si="10"/>
        <v>-1194.6994675661169</v>
      </c>
      <c r="T35" s="8">
        <f t="shared" si="11"/>
        <v>26.364952253990907</v>
      </c>
    </row>
    <row r="36" spans="3:20">
      <c r="C36" s="2" t="s">
        <v>8</v>
      </c>
      <c r="D36" s="2">
        <f>D6+D29*SIN(RADIANS(D16))</f>
        <v>126.39223806202797</v>
      </c>
      <c r="E36" s="2" t="s">
        <v>20</v>
      </c>
      <c r="F36" s="2" t="s">
        <v>67</v>
      </c>
      <c r="H36" s="7">
        <v>11</v>
      </c>
      <c r="I36" s="8">
        <f t="shared" si="0"/>
        <v>249.19441517780214</v>
      </c>
      <c r="J36" s="8">
        <f t="shared" si="1"/>
        <v>129.00045654388231</v>
      </c>
      <c r="K36" s="8">
        <f t="shared" si="2"/>
        <v>196.0302030893597</v>
      </c>
      <c r="L36" s="8">
        <f t="shared" si="3"/>
        <v>172.23835781181452</v>
      </c>
      <c r="M36" s="8">
        <f t="shared" si="4"/>
        <v>62.721193374244272</v>
      </c>
      <c r="N36" s="8">
        <f t="shared" si="5"/>
        <v>260.33545057374437</v>
      </c>
      <c r="O36" s="8">
        <f t="shared" si="6"/>
        <v>62.850042105979064</v>
      </c>
      <c r="P36" s="8">
        <f t="shared" si="7"/>
        <v>9.5600231747982534</v>
      </c>
      <c r="Q36" s="8">
        <f t="shared" si="8"/>
        <v>8.5600231747982534</v>
      </c>
      <c r="R36" s="8">
        <f t="shared" si="9"/>
        <v>-328.76757711758637</v>
      </c>
      <c r="S36" s="8">
        <f t="shared" si="10"/>
        <v>-955.55847845260405</v>
      </c>
      <c r="T36" s="8">
        <f t="shared" si="11"/>
        <v>28.977707052586133</v>
      </c>
    </row>
    <row r="37" spans="3:20">
      <c r="C37" s="4" t="s">
        <v>9</v>
      </c>
      <c r="D37" s="4">
        <f>SQRT((D35-D7)^2 + (D36-D8)^2)</f>
        <v>195.14616605173669</v>
      </c>
      <c r="E37" s="4" t="s">
        <v>20</v>
      </c>
      <c r="F37" s="4" t="s">
        <v>68</v>
      </c>
      <c r="H37" s="7">
        <v>12</v>
      </c>
      <c r="I37" s="8">
        <f t="shared" si="0"/>
        <v>248.66556439126057</v>
      </c>
      <c r="J37" s="8">
        <f t="shared" si="1"/>
        <v>131.59984120573961</v>
      </c>
      <c r="K37" s="8">
        <f t="shared" si="2"/>
        <v>196.90251482511331</v>
      </c>
      <c r="L37" s="8">
        <f t="shared" si="3"/>
        <v>172.34569199061755</v>
      </c>
      <c r="M37" s="8">
        <f t="shared" si="4"/>
        <v>62.425655401246502</v>
      </c>
      <c r="N37" s="8">
        <f t="shared" si="5"/>
        <v>259.84138047897761</v>
      </c>
      <c r="O37" s="8">
        <f t="shared" si="6"/>
        <v>65.455293926515495</v>
      </c>
      <c r="P37" s="8">
        <f t="shared" si="7"/>
        <v>9.5901495949651991</v>
      </c>
      <c r="Q37" s="8">
        <f t="shared" si="8"/>
        <v>8.5901495949651991</v>
      </c>
      <c r="R37" s="8">
        <f t="shared" si="9"/>
        <v>-411.97778311323145</v>
      </c>
      <c r="S37" s="8">
        <f t="shared" si="10"/>
        <v>-811.2129750748627</v>
      </c>
      <c r="T37" s="8">
        <f t="shared" si="11"/>
        <v>31.582958873122564</v>
      </c>
    </row>
    <row r="38" spans="3:20">
      <c r="C38" s="4" t="s">
        <v>10</v>
      </c>
      <c r="D38" s="5">
        <f>(D30^2 - D34^2 + D37^2)/(2*D37)</f>
        <v>172.13258011659028</v>
      </c>
      <c r="E38" s="4" t="s">
        <v>20</v>
      </c>
      <c r="F38" s="4" t="s">
        <v>69</v>
      </c>
      <c r="H38" s="7">
        <v>13</v>
      </c>
      <c r="I38" s="8">
        <f t="shared" si="0"/>
        <v>248.09142863364977</v>
      </c>
      <c r="J38" s="8">
        <f t="shared" si="1"/>
        <v>134.18960024985114</v>
      </c>
      <c r="K38" s="8">
        <f t="shared" si="2"/>
        <v>197.76299244379661</v>
      </c>
      <c r="L38" s="8">
        <f t="shared" si="3"/>
        <v>172.45441206526596</v>
      </c>
      <c r="M38" s="8">
        <f t="shared" si="4"/>
        <v>62.124679147851104</v>
      </c>
      <c r="N38" s="8">
        <f t="shared" si="5"/>
        <v>259.30985745156227</v>
      </c>
      <c r="O38" s="8">
        <f t="shared" si="6"/>
        <v>68.052266958755823</v>
      </c>
      <c r="P38" s="8">
        <f t="shared" si="7"/>
        <v>9.6270636378975958</v>
      </c>
      <c r="Q38" s="8">
        <f t="shared" si="8"/>
        <v>8.6270636378975958</v>
      </c>
      <c r="R38" s="8">
        <f t="shared" si="9"/>
        <v>-495.31777045552826</v>
      </c>
      <c r="S38" s="8">
        <f t="shared" si="10"/>
        <v>-713.85617965962592</v>
      </c>
      <c r="T38" s="8">
        <f t="shared" si="11"/>
        <v>34.179931905362892</v>
      </c>
    </row>
    <row r="39" spans="3:20">
      <c r="C39" s="4" t="s">
        <v>11</v>
      </c>
      <c r="D39" s="5">
        <f>SQRT(D30^2 - D38^2)</f>
        <v>63.010910661611803</v>
      </c>
      <c r="E39" s="4" t="s">
        <v>20</v>
      </c>
      <c r="F39" s="4" t="s">
        <v>70</v>
      </c>
      <c r="H39" s="7">
        <v>14</v>
      </c>
      <c r="I39" s="8">
        <f t="shared" si="0"/>
        <v>247.47218279228326</v>
      </c>
      <c r="J39" s="8">
        <f t="shared" si="1"/>
        <v>136.76894481052446</v>
      </c>
      <c r="K39" s="8">
        <f t="shared" si="2"/>
        <v>198.61152933594957</v>
      </c>
      <c r="L39" s="8">
        <f t="shared" si="3"/>
        <v>172.56435166263412</v>
      </c>
      <c r="M39" s="8">
        <f t="shared" si="4"/>
        <v>61.818642295465658</v>
      </c>
      <c r="N39" s="8">
        <f t="shared" si="5"/>
        <v>258.74108301404118</v>
      </c>
      <c r="O39" s="8">
        <f t="shared" si="6"/>
        <v>70.640192457315322</v>
      </c>
      <c r="P39" s="8">
        <f t="shared" si="7"/>
        <v>9.6707906185819752</v>
      </c>
      <c r="Q39" s="8">
        <f t="shared" si="8"/>
        <v>8.6707906185819752</v>
      </c>
      <c r="R39" s="8">
        <f t="shared" si="9"/>
        <v>-578.82312593787447</v>
      </c>
      <c r="S39" s="8">
        <f t="shared" si="10"/>
        <v>-643.16749283665092</v>
      </c>
      <c r="T39" s="8">
        <f t="shared" si="11"/>
        <v>36.767857403922392</v>
      </c>
    </row>
    <row r="40" spans="3:20">
      <c r="C40" s="4" t="s">
        <v>71</v>
      </c>
      <c r="D40" s="5">
        <f>D7 + D38*(D35-D7)/D37</f>
        <v>229.66771584042576</v>
      </c>
      <c r="E40" s="4" t="s">
        <v>20</v>
      </c>
      <c r="F40" s="4" t="s">
        <v>72</v>
      </c>
      <c r="H40" s="7">
        <v>15</v>
      </c>
      <c r="I40" s="8">
        <f t="shared" si="0"/>
        <v>246.80801549544313</v>
      </c>
      <c r="J40" s="8">
        <f t="shared" si="1"/>
        <v>139.33708919441972</v>
      </c>
      <c r="K40" s="8">
        <f t="shared" si="2"/>
        <v>199.44802106573152</v>
      </c>
      <c r="L40" s="8">
        <f t="shared" si="3"/>
        <v>172.67534854190419</v>
      </c>
      <c r="M40" s="8">
        <f t="shared" si="4"/>
        <v>61.507918237670026</v>
      </c>
      <c r="N40" s="8">
        <f t="shared" si="5"/>
        <v>258.13527939725759</v>
      </c>
      <c r="O40" s="8">
        <f t="shared" si="6"/>
        <v>73.218309014363086</v>
      </c>
      <c r="P40" s="8">
        <f t="shared" si="7"/>
        <v>9.7213623345594122</v>
      </c>
      <c r="Q40" s="8">
        <f t="shared" si="8"/>
        <v>8.7213623345594122</v>
      </c>
      <c r="R40" s="8">
        <f t="shared" si="9"/>
        <v>-662.52919485533403</v>
      </c>
      <c r="S40" s="8">
        <f t="shared" si="10"/>
        <v>-589.04282289277398</v>
      </c>
      <c r="T40" s="8">
        <f t="shared" si="11"/>
        <v>39.345973960970156</v>
      </c>
    </row>
    <row r="41" spans="3:20">
      <c r="C41" s="4" t="s">
        <v>73</v>
      </c>
      <c r="D41" s="5">
        <f>D8 + D38*(D36-D8)/D37</f>
        <v>115.02470213240353</v>
      </c>
      <c r="E41" s="4" t="s">
        <v>20</v>
      </c>
      <c r="F41" s="4" t="s">
        <v>74</v>
      </c>
      <c r="H41" s="7">
        <v>16</v>
      </c>
      <c r="I41" s="8">
        <f t="shared" si="0"/>
        <v>246.09912905492189</v>
      </c>
      <c r="J41" s="8">
        <f t="shared" si="1"/>
        <v>141.89325111987944</v>
      </c>
      <c r="K41" s="8">
        <f t="shared" si="2"/>
        <v>200.27236534025354</v>
      </c>
      <c r="L41" s="8">
        <f t="shared" si="3"/>
        <v>172.78724451423199</v>
      </c>
      <c r="M41" s="8">
        <f t="shared" si="4"/>
        <v>61.192876490478859</v>
      </c>
      <c r="N41" s="8">
        <f t="shared" si="5"/>
        <v>257.49268932395222</v>
      </c>
      <c r="O41" s="8">
        <f t="shared" si="6"/>
        <v>75.785862845980887</v>
      </c>
      <c r="P41" s="8">
        <f t="shared" si="7"/>
        <v>9.7788169483417331</v>
      </c>
      <c r="Q41" s="8">
        <f t="shared" si="8"/>
        <v>8.7788169483417331</v>
      </c>
      <c r="R41" s="8">
        <f t="shared" si="9"/>
        <v>-746.47112096515957</v>
      </c>
      <c r="S41" s="8">
        <f t="shared" si="10"/>
        <v>-545.89214487366314</v>
      </c>
      <c r="T41" s="8">
        <f t="shared" si="11"/>
        <v>41.913527792587956</v>
      </c>
    </row>
    <row r="42" spans="3:20">
      <c r="C42" s="4" t="s">
        <v>75</v>
      </c>
      <c r="D42" s="4">
        <v>-1</v>
      </c>
      <c r="E42" s="4" t="s">
        <v>76</v>
      </c>
      <c r="F42" s="4" t="s">
        <v>77</v>
      </c>
      <c r="H42" s="7">
        <v>17</v>
      </c>
      <c r="I42" s="8">
        <f t="shared" si="0"/>
        <v>245.34573940439648</v>
      </c>
      <c r="J42" s="8">
        <f t="shared" si="1"/>
        <v>144.43665195521902</v>
      </c>
      <c r="K42" s="8">
        <f t="shared" si="2"/>
        <v>201.08446198029952</v>
      </c>
      <c r="L42" s="8">
        <f t="shared" si="3"/>
        <v>172.89988536438719</v>
      </c>
      <c r="M42" s="8">
        <f t="shared" si="4"/>
        <v>60.873883077899364</v>
      </c>
      <c r="N42" s="8">
        <f t="shared" si="5"/>
        <v>256.81357579454135</v>
      </c>
      <c r="O42" s="8">
        <f t="shared" si="6"/>
        <v>78.342108091683173</v>
      </c>
      <c r="P42" s="8">
        <f t="shared" si="7"/>
        <v>9.8431988789515419</v>
      </c>
      <c r="Q42" s="8">
        <f t="shared" si="8"/>
        <v>8.8431988789515419</v>
      </c>
      <c r="R42" s="8">
        <f t="shared" si="9"/>
        <v>-830.68388358682296</v>
      </c>
      <c r="S42" s="8">
        <f t="shared" si="10"/>
        <v>-510.37298829905092</v>
      </c>
      <c r="T42" s="8">
        <f t="shared" si="11"/>
        <v>44.469773038290242</v>
      </c>
    </row>
    <row r="43" spans="3:20">
      <c r="C43" s="2" t="s">
        <v>12</v>
      </c>
      <c r="D43" s="1">
        <f>D40 - D42*D39*(D36-D8)/D37</f>
        <v>260.79188714179276</v>
      </c>
      <c r="E43" s="2" t="s">
        <v>20</v>
      </c>
      <c r="F43" s="2" t="s">
        <v>78</v>
      </c>
      <c r="H43" s="7">
        <v>18</v>
      </c>
      <c r="I43" s="8">
        <f t="shared" si="0"/>
        <v>244.54807603365271</v>
      </c>
      <c r="J43" s="8">
        <f t="shared" si="1"/>
        <v>146.96651695590549</v>
      </c>
      <c r="K43" s="8">
        <f t="shared" si="2"/>
        <v>201.88421289237274</v>
      </c>
      <c r="L43" s="8">
        <f t="shared" si="3"/>
        <v>173.01312077436864</v>
      </c>
      <c r="M43" s="8">
        <f t="shared" si="4"/>
        <v>60.55130089365317</v>
      </c>
      <c r="N43" s="8">
        <f t="shared" si="5"/>
        <v>256.09822187350994</v>
      </c>
      <c r="O43" s="8">
        <f t="shared" si="6"/>
        <v>80.886307126653065</v>
      </c>
      <c r="P43" s="8">
        <f t="shared" si="7"/>
        <v>9.9145587013259746</v>
      </c>
      <c r="Q43" s="8">
        <f t="shared" si="8"/>
        <v>8.9145587013259746</v>
      </c>
      <c r="R43" s="8">
        <f t="shared" si="9"/>
        <v>-915.20233191176067</v>
      </c>
      <c r="S43" s="8">
        <f t="shared" si="10"/>
        <v>-480.36495100228228</v>
      </c>
      <c r="T43" s="8">
        <f t="shared" si="11"/>
        <v>47.013972073260135</v>
      </c>
    </row>
    <row r="44" spans="3:20">
      <c r="C44" s="2" t="s">
        <v>13</v>
      </c>
      <c r="D44" s="1">
        <f>D41 + D42*D39*(D35-D7)/D37</f>
        <v>60.237287307383838</v>
      </c>
      <c r="E44" s="2" t="s">
        <v>20</v>
      </c>
      <c r="F44" s="2" t="s">
        <v>79</v>
      </c>
      <c r="H44" s="7">
        <v>19</v>
      </c>
      <c r="I44" s="8">
        <f t="shared" si="0"/>
        <v>243.70638191868042</v>
      </c>
      <c r="J44" s="8">
        <f t="shared" si="1"/>
        <v>149.48207550055236</v>
      </c>
      <c r="K44" s="8">
        <f t="shared" si="2"/>
        <v>202.67152204200903</v>
      </c>
      <c r="L44" s="8">
        <f t="shared" si="3"/>
        <v>173.12680424899253</v>
      </c>
      <c r="M44" s="8">
        <f t="shared" si="4"/>
        <v>60.225490039774819</v>
      </c>
      <c r="N44" s="8">
        <f t="shared" si="5"/>
        <v>255.34693047487045</v>
      </c>
      <c r="O44" s="8">
        <f t="shared" si="6"/>
        <v>83.417730886297818</v>
      </c>
      <c r="P44" s="8">
        <f t="shared" si="7"/>
        <v>9.9929530523627381</v>
      </c>
      <c r="Q44" s="8">
        <f t="shared" si="8"/>
        <v>8.9929530523627381</v>
      </c>
      <c r="R44" s="8">
        <f t="shared" si="9"/>
        <v>-1000.0612165720377</v>
      </c>
      <c r="S44" s="8">
        <f t="shared" si="10"/>
        <v>-454.45875775816944</v>
      </c>
      <c r="T44" s="8">
        <f t="shared" si="11"/>
        <v>49.545395832904887</v>
      </c>
    </row>
    <row r="45" spans="3:20">
      <c r="C45" s="2" t="s">
        <v>80</v>
      </c>
      <c r="D45" s="1">
        <f>DEGREES(ATAN2(D43-D7, D44-D8))</f>
        <v>9.4947903177358484</v>
      </c>
      <c r="E45" s="2" t="s">
        <v>42</v>
      </c>
      <c r="F45" s="2" t="s">
        <v>81</v>
      </c>
      <c r="H45" s="7">
        <v>20</v>
      </c>
      <c r="I45" s="8">
        <f t="shared" si="0"/>
        <v>242.82091344766073</v>
      </c>
      <c r="J45" s="8">
        <f t="shared" si="1"/>
        <v>151.98256132565808</v>
      </c>
      <c r="K45" s="8">
        <f t="shared" si="2"/>
        <v>203.44629542829861</v>
      </c>
      <c r="L45" s="8">
        <f t="shared" si="3"/>
        <v>173.24079304344411</v>
      </c>
      <c r="M45" s="8">
        <f t="shared" si="4"/>
        <v>59.896808142659459</v>
      </c>
      <c r="N45" s="8">
        <f t="shared" si="5"/>
        <v>254.56002414514376</v>
      </c>
      <c r="O45" s="8">
        <f t="shared" si="6"/>
        <v>85.935659202755687</v>
      </c>
      <c r="P45" s="8">
        <f t="shared" si="7"/>
        <v>10.078444542415202</v>
      </c>
      <c r="Q45" s="8">
        <f t="shared" si="8"/>
        <v>9.0784445424152018</v>
      </c>
      <c r="R45" s="8">
        <f t="shared" si="9"/>
        <v>-1085.2952184986734</v>
      </c>
      <c r="S45" s="8">
        <f t="shared" si="10"/>
        <v>-431.68190062754661</v>
      </c>
      <c r="T45" s="8">
        <f t="shared" si="11"/>
        <v>52.063324149362757</v>
      </c>
    </row>
    <row r="47" spans="3:20">
      <c r="C47" s="9" t="s">
        <v>82</v>
      </c>
      <c r="D47" s="10"/>
      <c r="E47" s="10"/>
      <c r="F47" s="10"/>
    </row>
    <row r="48" spans="3:20">
      <c r="C48" s="2" t="s">
        <v>49</v>
      </c>
      <c r="D48" s="2" t="s">
        <v>3</v>
      </c>
      <c r="E48" s="2" t="s">
        <v>4</v>
      </c>
      <c r="F48" s="2" t="s">
        <v>5</v>
      </c>
    </row>
    <row r="49" spans="3:6">
      <c r="C49" s="2" t="s">
        <v>83</v>
      </c>
      <c r="D49" s="2">
        <f>DEGREES(ATAN(D33/(D36-D44)))</f>
        <v>16.82114488332024</v>
      </c>
      <c r="E49" s="2" t="s">
        <v>42</v>
      </c>
      <c r="F49" s="2" t="s">
        <v>84</v>
      </c>
    </row>
    <row r="50" spans="3:6">
      <c r="C50" s="2" t="s">
        <v>14</v>
      </c>
      <c r="D50" s="2">
        <f>-DEGREES(ATAN((D35 - D43)/(D36-D44)))</f>
        <v>9.5366656729775681</v>
      </c>
      <c r="E50" s="2" t="s">
        <v>42</v>
      </c>
      <c r="F50" s="2" t="s">
        <v>85</v>
      </c>
    </row>
    <row r="51" spans="3:6">
      <c r="C51" s="2" t="s">
        <v>16</v>
      </c>
      <c r="D51" s="1">
        <f>(D35-D5)*(D44-D8)-(D36-D6)*(D43-D7)</f>
        <v>-245.65128126423224</v>
      </c>
      <c r="E51" s="2" t="s">
        <v>20</v>
      </c>
      <c r="F51" s="2" t="s">
        <v>86</v>
      </c>
    </row>
    <row r="52" spans="3:6">
      <c r="C52" s="2" t="s">
        <v>87</v>
      </c>
      <c r="D52" s="1">
        <f>(D5 + ((D7-D5)*(D44-D8)-(D8-D6)*(D43-D7))/D51*(D35-D5))</f>
        <v>-7242.6055522764491</v>
      </c>
      <c r="E52" s="2" t="s">
        <v>20</v>
      </c>
      <c r="F52" s="2" t="s">
        <v>88</v>
      </c>
    </row>
    <row r="53" spans="3:6">
      <c r="C53" s="2" t="s">
        <v>17</v>
      </c>
      <c r="D53" s="1">
        <f>(D6 + ((D7-D5)*(D44-D8)-(D8-D6)*(D43-D7))/D51*(D36-D6))</f>
        <v>-1194.6994675661169</v>
      </c>
      <c r="E53" s="2" t="s">
        <v>20</v>
      </c>
      <c r="F53" s="2" t="s">
        <v>89</v>
      </c>
    </row>
  </sheetData>
  <mergeCells count="4">
    <mergeCell ref="C47:F47"/>
    <mergeCell ref="H3:T3"/>
    <mergeCell ref="C3:F3"/>
    <mergeCell ref="C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2026-06-12T05:48:51Z</dcterms:modified>
</cp:coreProperties>
</file>