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e\OneDrive\Documents\Personal Projects\GOGO Kart\CAD\GOGO_KART_FSAE\Shareef\Suspension Tools\"/>
    </mc:Choice>
  </mc:AlternateContent>
  <xr:revisionPtr revIDLastSave="0" documentId="13_ncr:1_{825C6F8D-A703-481E-BD53-CF2D5B34F89B}" xr6:coauthVersionLast="47" xr6:coauthVersionMax="47" xr10:uidLastSave="{00000000-0000-0000-0000-000000000000}"/>
  <bookViews>
    <workbookView xWindow="-105" yWindow="0" windowWidth="19410" windowHeight="20985" xr2:uid="{9695B30A-B9BA-4C2C-80C9-40991A052BC6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5" i="2" l="1"/>
  <c r="D24" i="2"/>
  <c r="D21" i="2"/>
  <c r="D23" i="2" s="1"/>
  <c r="D20" i="2"/>
  <c r="D22" i="2" s="1"/>
  <c r="D28" i="2" s="1"/>
  <c r="D29" i="2" l="1"/>
  <c r="D30" i="2" s="1"/>
  <c r="D26" i="2"/>
  <c r="D27" i="2" s="1"/>
  <c r="D31" i="2" l="1"/>
  <c r="D33" i="2" l="1"/>
  <c r="D34" i="2"/>
  <c r="D32" i="2"/>
  <c r="D36" i="2" l="1"/>
  <c r="D37" i="2"/>
  <c r="D42" i="2" l="1"/>
  <c r="D44" i="2"/>
  <c r="D45" i="2" s="1"/>
  <c r="D46" i="2" s="1"/>
  <c r="D38" i="2"/>
  <c r="D4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tc={E2B2BCA6-049C-48FE-BC62-63CF1D52D89F}</author>
    <author>tc={64601429-D9CE-448D-9EE8-D0B6F1B12AAB}</author>
  </authors>
  <commentList>
    <comment ref="C27" authorId="0" shapeId="0" xr:uid="{E2B2BCA6-049C-48FE-BC62-63CF1D52D89F}">
      <text>
        <t>[Threaded comment]
Your version of Excel allows you to read this threaded comment; however, any edits to it will get removed if the file is opened in a newer version of Excel. Learn more: https://go.microsoft.com/fwlink/?linkid=870924
Comment:
    66.155mm dZ in CAD using measure tool point to point
Reply:
    Rounding error in inventor?? We’re close enough</t>
      </text>
    </comment>
    <comment ref="C30" authorId="1" shapeId="0" xr:uid="{64601429-D9CE-448D-9EE8-D0B6F1B12AAB}">
      <text>
        <t>[Threaded comment]
Your version of Excel allows you to read this threaded comment; however, any edits to it will get removed if the file is opened in a newer version of Excel. Learn more: https://go.microsoft.com/fwlink/?linkid=870924
Comment:
    LOP is pinned by two rigid links. Drawing 2 circles, one centered at the lower inboard pickup and one at the upper outboard pivot with a radius equal to the length of each respective link means the circles will intersect at the point the links meet (LOP). 
Reply:
    The 2 circles cross in 2 points, each one is a valid solution for the intersection of the lower arm line and the upright line for any given pair of lengths. 
Reply:
    Each intersection point can be defined by 2 values, the position along the line drawn between the centers of each circle (a_chord) and the distance away from it (h_chord).
Reply:
    The chord joining the two intersections is perpendicular to the center line and meets the center line at one point “M”</t>
      </text>
    </comment>
  </commentList>
</comments>
</file>

<file path=xl/sharedStrings.xml><?xml version="1.0" encoding="utf-8"?>
<sst xmlns="http://schemas.openxmlformats.org/spreadsheetml/2006/main" count="123" uniqueCount="83">
  <si>
    <t>Value</t>
  </si>
  <si>
    <t>deg</t>
  </si>
  <si>
    <t>Unit</t>
  </si>
  <si>
    <t>Parameter Name</t>
  </si>
  <si>
    <t>Geometry Inputs</t>
  </si>
  <si>
    <t>Description</t>
  </si>
  <si>
    <t>Calculated Intermediate Values</t>
  </si>
  <si>
    <t>Caluclated Final Values</t>
  </si>
  <si>
    <t>Y_U</t>
  </si>
  <si>
    <t>Z_U</t>
  </si>
  <si>
    <t>Y_L</t>
  </si>
  <si>
    <t>Z_L</t>
  </si>
  <si>
    <t>r_U</t>
  </si>
  <si>
    <t>r_L</t>
  </si>
  <si>
    <t>X_UOP</t>
  </si>
  <si>
    <t>X_LOP</t>
  </si>
  <si>
    <t>L_u</t>
  </si>
  <si>
    <t>X_uf</t>
  </si>
  <si>
    <t>X_lf</t>
  </si>
  <si>
    <t>X_ur</t>
  </si>
  <si>
    <t>X_lr</t>
  </si>
  <si>
    <t>mm</t>
  </si>
  <si>
    <t>Upper inboard pickup axis lateral position (from origin)</t>
  </si>
  <si>
    <t>Upper inboard pickup axis vertical position (from origin)</t>
  </si>
  <si>
    <t>Lower inboard pickup axis lateral position (from origin)</t>
  </si>
  <si>
    <t>Lower inboard pickup axis vertical position (from origin)</t>
  </si>
  <si>
    <t>Pivot Hardpoints (Inputs)</t>
  </si>
  <si>
    <t>dX</t>
  </si>
  <si>
    <t>theta_U0</t>
  </si>
  <si>
    <t>theta_L0</t>
  </si>
  <si>
    <t>d_yz</t>
  </si>
  <si>
    <t>L_U</t>
  </si>
  <si>
    <t>Upper arm member length</t>
  </si>
  <si>
    <t>L_L</t>
  </si>
  <si>
    <t>Lower arm member length</t>
  </si>
  <si>
    <t>Upright length (linear distance between upper and lower outboard rod end centers)</t>
  </si>
  <si>
    <t>Upper arm angle from horizontal at ride height on flat ground</t>
  </si>
  <si>
    <t>Longitudinal position of the upper front pickup (from origin)</t>
  </si>
  <si>
    <t>Longitudinal position of the upper rear pickup (from origin)</t>
  </si>
  <si>
    <t>Longitudinal position of the lower front pickup (from origin)</t>
  </si>
  <si>
    <t>Longitudinal position of the lower rear pickup (from origin)</t>
  </si>
  <si>
    <t>base_U</t>
  </si>
  <si>
    <t>longitudinal spacing between the 2 upper inboard pickup points</t>
  </si>
  <si>
    <t>longitudinal spacing between the 2 lower inboard pickup points</t>
  </si>
  <si>
    <t>base_L</t>
  </si>
  <si>
    <t>upper arm swing radius</t>
  </si>
  <si>
    <t>lower arm swing radius</t>
  </si>
  <si>
    <t>logitudinal position of the upper outboard pivot on the upright</t>
  </si>
  <si>
    <t>logitudinal position of the lower outboard pivot on the upright</t>
  </si>
  <si>
    <t>longitudinal distance between upper and lower outboard pivots</t>
  </si>
  <si>
    <t>Upright height from front view</t>
  </si>
  <si>
    <t>UOP_y</t>
  </si>
  <si>
    <t>lateral position of upper outboard pivot at current upper arm angle</t>
  </si>
  <si>
    <t>UOP_z</t>
  </si>
  <si>
    <t>vertical position of upper outboard pivot at current upper arm angle</t>
  </si>
  <si>
    <t>D_centers</t>
  </si>
  <si>
    <t>Distance between centers of circles drawn at lower inboard and upper outboard points</t>
  </si>
  <si>
    <t>a_chord</t>
  </si>
  <si>
    <t>distance from center of circle at lower inboard to the line between the intersection points of both circles</t>
  </si>
  <si>
    <t>h_chord</t>
  </si>
  <si>
    <t>perpendicular distance from a_chord to the 2 possible intersection points of the lower arm and upright</t>
  </si>
  <si>
    <t>M_y</t>
  </si>
  <si>
    <t>lateral position of the intersection between a_chord and h_chord</t>
  </si>
  <si>
    <t>M_z</t>
  </si>
  <si>
    <t>vertical position of the intersection between a_chord and h_chord</t>
  </si>
  <si>
    <t xml:space="preserve">branch </t>
  </si>
  <si>
    <t>const</t>
  </si>
  <si>
    <t>since the cirles intersect at 2 separate points, we need this value to choose which one is the real life suspension position that doesn't require the arms crossing over</t>
  </si>
  <si>
    <t>LOP_y</t>
  </si>
  <si>
    <t>LOP_z</t>
  </si>
  <si>
    <t>lateral position of the lower outboard pivot</t>
  </si>
  <si>
    <t>vertical position of the lower outboard pivot</t>
  </si>
  <si>
    <t>angle between lower arm and horizontal</t>
  </si>
  <si>
    <t>caster</t>
  </si>
  <si>
    <t>side view angle of the steering axis from vertical</t>
  </si>
  <si>
    <t>KPI</t>
  </si>
  <si>
    <t>(Kingpin inclination) front view angle between the steering axis and horizontal</t>
  </si>
  <si>
    <t>IC_y</t>
  </si>
  <si>
    <t>IC_det</t>
  </si>
  <si>
    <t>IC_z</t>
  </si>
  <si>
    <t>determinant of the two arm direction vectors (0 when the arms are parallel and increasesd when they diverege)</t>
  </si>
  <si>
    <t>horizontal position of the instant center</t>
  </si>
  <si>
    <t>vertical position of the instant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</si>
</sst>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997857</xdr:colOff>
      <xdr:row>14</xdr:row>
      <xdr:rowOff>72572</xdr:rowOff>
    </xdr:from>
    <xdr:to>
      <xdr:col>18</xdr:col>
      <xdr:colOff>549556</xdr:colOff>
      <xdr:row>44</xdr:row>
      <xdr:rowOff>2344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F62C64-29B3-E228-DF5B-C72214E99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42143" y="2612572"/>
          <a:ext cx="9548413" cy="5372629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29</xdr:col>
      <xdr:colOff>402352</xdr:colOff>
      <xdr:row>35</xdr:row>
      <xdr:rowOff>18602</xdr:rowOff>
    </xdr:to>
    <xdr:pic>
      <xdr:nvPicPr>
        <xdr:cNvPr id="3" name="Picture 2" descr="How to Write the Equation of a Circle">
          <a:extLst>
            <a:ext uri="{FF2B5EF4-FFF2-40B4-BE49-F238E27FC236}">
              <a16:creationId xmlns:a16="http://schemas.microsoft.com/office/drawing/2014/main" id="{13A0E66B-CE0F-9A21-0218-3C44170BA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94353" y="3048000"/>
          <a:ext cx="5844601" cy="3249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hareef Sayeed" id="{4765540D-6CB2-4BDD-BE7D-C7D9F9E62C98}" userId="S::sss94512@uga.edu::438c3efc-07b6-4b82-8a6c-fbcecdd1e37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7" dT="2026-06-04T19:32:09.57" personId="{4765540D-6CB2-4BDD-BE7D-C7D9F9E62C98}" id="{E2B2BCA6-049C-48FE-BC62-63CF1D52D89F}">
    <text>66.155mm dZ in CAD using measure tool point to point</text>
  </threadedComment>
  <threadedComment ref="C27" dT="2026-06-04T19:34:44.27" personId="{4765540D-6CB2-4BDD-BE7D-C7D9F9E62C98}" id="{EFCF8898-55B7-4633-B0B0-94BDA1DE6F5D}" parentId="{E2B2BCA6-049C-48FE-BC62-63CF1D52D89F}">
    <text>Rounding error in inventor?? We’re close enough</text>
  </threadedComment>
  <threadedComment ref="C30" dT="2026-06-06T23:18:52.43" personId="{4765540D-6CB2-4BDD-BE7D-C7D9F9E62C98}" id="{64601429-D9CE-448D-9EE8-D0B6F1B12AAB}">
    <text xml:space="preserve">LOP is pinned by two rigid links. Drawing 2 circles, one centered at the lower inboard pickup and one at the upper outboard pivot with a radius equal to the length of each respective link means the circles will intersect at the point the links meet (LOP). </text>
  </threadedComment>
  <threadedComment ref="C30" dT="2026-06-06T23:21:50.05" personId="{4765540D-6CB2-4BDD-BE7D-C7D9F9E62C98}" id="{DCDD606E-06FD-432D-8034-556ACE538BAA}" parentId="{64601429-D9CE-448D-9EE8-D0B6F1B12AAB}">
    <text xml:space="preserve">The 2 circles cross in 2 points, each one is a valid solution for the intersection of the lower arm line and the upright line for any given pair of lengths. </text>
  </threadedComment>
  <threadedComment ref="C30" dT="2026-06-06T23:35:02.69" personId="{4765540D-6CB2-4BDD-BE7D-C7D9F9E62C98}" id="{24C03F8C-0DDB-4862-8AD6-A20A51373771}" parentId="{64601429-D9CE-448D-9EE8-D0B6F1B12AAB}">
    <text>Each intersection point can be defined by 2 values, the position along the line drawn between the centers of each circle (a_chord) and the distance away from it (h_chord).</text>
  </threadedComment>
  <threadedComment ref="C30" dT="2026-06-06T23:35:58.82" personId="{4765540D-6CB2-4BDD-BE7D-C7D9F9E62C98}" id="{1DAB703D-290E-441B-B27F-6642BD7B2058}" parentId="{64601429-D9CE-448D-9EE8-D0B6F1B12AAB}">
    <text>The chord joining the two intersections is perpendicular to the center line and meets the center line at one point “M”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EDE4-CF63-4BE7-9597-216ED5BF300E}">
  <dimension ref="C3:G46"/>
  <sheetViews>
    <sheetView tabSelected="1" zoomScale="85" zoomScaleNormal="85" workbookViewId="0">
      <selection activeCell="D5" sqref="D5"/>
    </sheetView>
  </sheetViews>
  <sheetFormatPr defaultRowHeight="14.4" x14ac:dyDescent="0.3"/>
  <cols>
    <col min="3" max="3" width="14.88671875" bestFit="1" customWidth="1"/>
    <col min="4" max="4" width="8.33203125" bestFit="1" customWidth="1"/>
    <col min="5" max="5" width="5.77734375" bestFit="1" customWidth="1"/>
    <col min="6" max="6" width="146" bestFit="1" customWidth="1"/>
    <col min="7" max="7" width="46.88671875" bestFit="1" customWidth="1"/>
  </cols>
  <sheetData>
    <row r="3" spans="3:6" x14ac:dyDescent="0.3">
      <c r="C3" s="4" t="s">
        <v>26</v>
      </c>
      <c r="D3" s="4"/>
      <c r="E3" s="4"/>
      <c r="F3" s="4"/>
    </row>
    <row r="4" spans="3:6" x14ac:dyDescent="0.3">
      <c r="C4" s="2" t="s">
        <v>4</v>
      </c>
      <c r="D4" s="2" t="s">
        <v>0</v>
      </c>
      <c r="E4" s="2" t="s">
        <v>2</v>
      </c>
      <c r="F4" s="2" t="s">
        <v>5</v>
      </c>
    </row>
    <row r="5" spans="3:6" x14ac:dyDescent="0.3">
      <c r="C5" s="2" t="s">
        <v>8</v>
      </c>
      <c r="D5" s="2">
        <v>100</v>
      </c>
      <c r="E5" s="2" t="s">
        <v>21</v>
      </c>
      <c r="F5" s="2" t="s">
        <v>22</v>
      </c>
    </row>
    <row r="6" spans="3:6" x14ac:dyDescent="0.3">
      <c r="C6" s="2" t="s">
        <v>9</v>
      </c>
      <c r="D6" s="2">
        <v>100</v>
      </c>
      <c r="E6" s="2" t="s">
        <v>21</v>
      </c>
      <c r="F6" s="2" t="s">
        <v>23</v>
      </c>
    </row>
    <row r="7" spans="3:6" x14ac:dyDescent="0.3">
      <c r="C7" s="2" t="s">
        <v>10</v>
      </c>
      <c r="D7" s="2">
        <v>80</v>
      </c>
      <c r="E7" s="2" t="s">
        <v>21</v>
      </c>
      <c r="F7" s="2" t="s">
        <v>24</v>
      </c>
    </row>
    <row r="8" spans="3:6" x14ac:dyDescent="0.3">
      <c r="C8" s="2" t="s">
        <v>11</v>
      </c>
      <c r="D8" s="2">
        <v>30</v>
      </c>
      <c r="E8" s="2" t="s">
        <v>21</v>
      </c>
      <c r="F8" s="2" t="s">
        <v>25</v>
      </c>
    </row>
    <row r="9" spans="3:6" x14ac:dyDescent="0.3">
      <c r="C9" s="2" t="s">
        <v>31</v>
      </c>
      <c r="D9" s="2">
        <v>160</v>
      </c>
      <c r="E9" s="2" t="s">
        <v>21</v>
      </c>
      <c r="F9" s="2" t="s">
        <v>32</v>
      </c>
    </row>
    <row r="10" spans="3:6" x14ac:dyDescent="0.3">
      <c r="C10" s="2" t="s">
        <v>33</v>
      </c>
      <c r="D10" s="2">
        <v>190</v>
      </c>
      <c r="E10" s="2" t="s">
        <v>21</v>
      </c>
      <c r="F10" s="2" t="s">
        <v>34</v>
      </c>
    </row>
    <row r="11" spans="3:6" x14ac:dyDescent="0.3">
      <c r="C11" s="2" t="s">
        <v>16</v>
      </c>
      <c r="D11" s="2">
        <v>70</v>
      </c>
      <c r="E11" s="2" t="s">
        <v>21</v>
      </c>
      <c r="F11" s="2" t="s">
        <v>35</v>
      </c>
    </row>
    <row r="12" spans="3:6" x14ac:dyDescent="0.3">
      <c r="C12" s="2" t="s">
        <v>17</v>
      </c>
      <c r="D12" s="2">
        <v>50</v>
      </c>
      <c r="E12" s="2" t="s">
        <v>21</v>
      </c>
      <c r="F12" s="2" t="s">
        <v>37</v>
      </c>
    </row>
    <row r="13" spans="3:6" x14ac:dyDescent="0.3">
      <c r="C13" s="2" t="s">
        <v>19</v>
      </c>
      <c r="D13" s="2">
        <v>150</v>
      </c>
      <c r="E13" s="2" t="s">
        <v>21</v>
      </c>
      <c r="F13" s="2" t="s">
        <v>38</v>
      </c>
    </row>
    <row r="14" spans="3:6" x14ac:dyDescent="0.3">
      <c r="C14" s="2" t="s">
        <v>18</v>
      </c>
      <c r="D14" s="2">
        <v>30</v>
      </c>
      <c r="E14" s="2" t="s">
        <v>21</v>
      </c>
      <c r="F14" s="2" t="s">
        <v>39</v>
      </c>
    </row>
    <row r="15" spans="3:6" x14ac:dyDescent="0.3">
      <c r="C15" s="2" t="s">
        <v>20</v>
      </c>
      <c r="D15" s="2">
        <v>130</v>
      </c>
      <c r="E15" s="2" t="s">
        <v>21</v>
      </c>
      <c r="F15" s="2" t="s">
        <v>40</v>
      </c>
    </row>
    <row r="16" spans="3:6" x14ac:dyDescent="0.3">
      <c r="C16" s="2" t="s">
        <v>28</v>
      </c>
      <c r="D16" s="2">
        <v>10</v>
      </c>
      <c r="E16" s="2" t="s">
        <v>1</v>
      </c>
      <c r="F16" s="2" t="s">
        <v>36</v>
      </c>
    </row>
    <row r="18" spans="3:7" x14ac:dyDescent="0.3">
      <c r="C18" s="5" t="s">
        <v>6</v>
      </c>
      <c r="D18" s="6"/>
      <c r="E18" s="6"/>
      <c r="F18" s="7"/>
    </row>
    <row r="19" spans="3:7" x14ac:dyDescent="0.3">
      <c r="C19" s="2" t="s">
        <v>3</v>
      </c>
      <c r="D19" s="2" t="s">
        <v>0</v>
      </c>
      <c r="E19" s="2" t="s">
        <v>2</v>
      </c>
      <c r="F19" s="2" t="s">
        <v>5</v>
      </c>
    </row>
    <row r="20" spans="3:7" x14ac:dyDescent="0.3">
      <c r="C20" s="2" t="s">
        <v>41</v>
      </c>
      <c r="D20" s="2">
        <f>D13-D12</f>
        <v>100</v>
      </c>
      <c r="E20" s="2" t="s">
        <v>21</v>
      </c>
      <c r="F20" s="2" t="s">
        <v>42</v>
      </c>
    </row>
    <row r="21" spans="3:7" x14ac:dyDescent="0.3">
      <c r="C21" s="2" t="s">
        <v>44</v>
      </c>
      <c r="D21" s="2">
        <f>D15-D14</f>
        <v>100</v>
      </c>
      <c r="E21" s="2" t="s">
        <v>21</v>
      </c>
      <c r="F21" s="2" t="s">
        <v>43</v>
      </c>
    </row>
    <row r="22" spans="3:7" x14ac:dyDescent="0.3">
      <c r="C22" s="2" t="s">
        <v>12</v>
      </c>
      <c r="D22" s="2">
        <f>SQRT((D9^2)-(D20/2)^2)</f>
        <v>151.98684153570665</v>
      </c>
      <c r="E22" s="2" t="s">
        <v>21</v>
      </c>
      <c r="F22" s="2" t="s">
        <v>45</v>
      </c>
    </row>
    <row r="23" spans="3:7" x14ac:dyDescent="0.3">
      <c r="C23" s="2" t="s">
        <v>13</v>
      </c>
      <c r="D23" s="2">
        <f>SQRT((D10^2)-(D21/2)^2)</f>
        <v>183.30302779823359</v>
      </c>
      <c r="E23" s="2" t="s">
        <v>21</v>
      </c>
      <c r="F23" s="2" t="s">
        <v>46</v>
      </c>
    </row>
    <row r="24" spans="3:7" x14ac:dyDescent="0.3">
      <c r="C24" s="2" t="s">
        <v>14</v>
      </c>
      <c r="D24" s="2">
        <f>(D12+D13)/2</f>
        <v>100</v>
      </c>
      <c r="E24" s="2" t="s">
        <v>21</v>
      </c>
      <c r="F24" s="2" t="s">
        <v>47</v>
      </c>
    </row>
    <row r="25" spans="3:7" x14ac:dyDescent="0.3">
      <c r="C25" s="2" t="s">
        <v>15</v>
      </c>
      <c r="D25" s="2">
        <f>(D14+D15)/2</f>
        <v>80</v>
      </c>
      <c r="E25" s="2" t="s">
        <v>21</v>
      </c>
      <c r="F25" s="2" t="s">
        <v>48</v>
      </c>
    </row>
    <row r="26" spans="3:7" x14ac:dyDescent="0.3">
      <c r="C26" s="2" t="s">
        <v>27</v>
      </c>
      <c r="D26" s="2">
        <f>D24-D25</f>
        <v>20</v>
      </c>
      <c r="E26" s="2" t="s">
        <v>21</v>
      </c>
      <c r="F26" s="2" t="s">
        <v>49</v>
      </c>
    </row>
    <row r="27" spans="3:7" x14ac:dyDescent="0.3">
      <c r="C27" s="2" t="s">
        <v>30</v>
      </c>
      <c r="D27" s="2">
        <f>SQRT((D11^2)-(D26^2))</f>
        <v>67.082039324993687</v>
      </c>
      <c r="E27" s="2" t="s">
        <v>21</v>
      </c>
      <c r="F27" s="2" t="s">
        <v>50</v>
      </c>
      <c r="G27" s="3"/>
    </row>
    <row r="28" spans="3:7" x14ac:dyDescent="0.3">
      <c r="C28" s="2" t="s">
        <v>51</v>
      </c>
      <c r="D28" s="2">
        <f>D5+D22*COS(RADIANS(D16))</f>
        <v>249.6778199002018</v>
      </c>
      <c r="E28" s="2" t="s">
        <v>21</v>
      </c>
      <c r="F28" s="2" t="s">
        <v>52</v>
      </c>
    </row>
    <row r="29" spans="3:7" x14ac:dyDescent="0.3">
      <c r="C29" s="2" t="s">
        <v>53</v>
      </c>
      <c r="D29" s="2">
        <f>D6+D22*SIN(RADIANS(D16))</f>
        <v>126.39223806202797</v>
      </c>
      <c r="E29" s="2" t="s">
        <v>21</v>
      </c>
      <c r="F29" s="2" t="s">
        <v>54</v>
      </c>
    </row>
    <row r="30" spans="3:7" x14ac:dyDescent="0.3">
      <c r="C30" s="9" t="s">
        <v>55</v>
      </c>
      <c r="D30" s="9">
        <f>SQRT((D28-D7)^2 + (D29-D8)^2)</f>
        <v>195.14616605173669</v>
      </c>
      <c r="E30" s="9" t="s">
        <v>21</v>
      </c>
      <c r="F30" s="9" t="s">
        <v>56</v>
      </c>
    </row>
    <row r="31" spans="3:7" x14ac:dyDescent="0.3">
      <c r="C31" s="9" t="s">
        <v>57</v>
      </c>
      <c r="D31" s="10">
        <f>(D23^2 - D27^2 + D30^2)/(2*D30)</f>
        <v>172.13258011659028</v>
      </c>
      <c r="E31" s="9" t="s">
        <v>21</v>
      </c>
      <c r="F31" s="9" t="s">
        <v>58</v>
      </c>
    </row>
    <row r="32" spans="3:7" x14ac:dyDescent="0.3">
      <c r="C32" s="9" t="s">
        <v>59</v>
      </c>
      <c r="D32" s="10">
        <f>SQRT(D23^2 - D31^2)</f>
        <v>63.010910661611803</v>
      </c>
      <c r="E32" s="9" t="s">
        <v>21</v>
      </c>
      <c r="F32" s="9" t="s">
        <v>60</v>
      </c>
    </row>
    <row r="33" spans="3:6" x14ac:dyDescent="0.3">
      <c r="C33" s="9" t="s">
        <v>61</v>
      </c>
      <c r="D33" s="10">
        <f>D7 + D31*(D28-D7)/D30</f>
        <v>229.66771584042576</v>
      </c>
      <c r="E33" s="9" t="s">
        <v>21</v>
      </c>
      <c r="F33" s="9" t="s">
        <v>62</v>
      </c>
    </row>
    <row r="34" spans="3:6" x14ac:dyDescent="0.3">
      <c r="C34" s="9" t="s">
        <v>63</v>
      </c>
      <c r="D34" s="10">
        <f>D8 + D31*(D29-D8)/D30</f>
        <v>115.02470213240353</v>
      </c>
      <c r="E34" s="9" t="s">
        <v>21</v>
      </c>
      <c r="F34" s="9" t="s">
        <v>64</v>
      </c>
    </row>
    <row r="35" spans="3:6" x14ac:dyDescent="0.3">
      <c r="C35" s="9" t="s">
        <v>65</v>
      </c>
      <c r="D35" s="9">
        <v>-1</v>
      </c>
      <c r="E35" s="9" t="s">
        <v>66</v>
      </c>
      <c r="F35" s="9" t="s">
        <v>67</v>
      </c>
    </row>
    <row r="36" spans="3:6" x14ac:dyDescent="0.3">
      <c r="C36" s="2" t="s">
        <v>68</v>
      </c>
      <c r="D36" s="1">
        <f>D33 - D35*D32*(D29-D8)/D30</f>
        <v>260.79188714179276</v>
      </c>
      <c r="E36" s="2" t="s">
        <v>21</v>
      </c>
      <c r="F36" s="2" t="s">
        <v>70</v>
      </c>
    </row>
    <row r="37" spans="3:6" x14ac:dyDescent="0.3">
      <c r="C37" s="2" t="s">
        <v>69</v>
      </c>
      <c r="D37" s="1">
        <f>D34 + D35*D32*(D28-D7)/D30</f>
        <v>60.237287307383838</v>
      </c>
      <c r="E37" s="2" t="s">
        <v>21</v>
      </c>
      <c r="F37" s="2" t="s">
        <v>71</v>
      </c>
    </row>
    <row r="38" spans="3:6" x14ac:dyDescent="0.3">
      <c r="C38" s="2" t="s">
        <v>29</v>
      </c>
      <c r="D38" s="1">
        <f>DEGREES(ATAN2(D36-D7, D37-D8))</f>
        <v>9.4947903177358484</v>
      </c>
      <c r="E38" s="2" t="s">
        <v>1</v>
      </c>
      <c r="F38" s="2" t="s">
        <v>72</v>
      </c>
    </row>
    <row r="40" spans="3:6" x14ac:dyDescent="0.3">
      <c r="C40" s="8" t="s">
        <v>7</v>
      </c>
      <c r="D40" s="8"/>
      <c r="E40" s="8"/>
      <c r="F40" s="8"/>
    </row>
    <row r="41" spans="3:6" x14ac:dyDescent="0.3">
      <c r="C41" s="2" t="s">
        <v>3</v>
      </c>
      <c r="D41" s="2" t="s">
        <v>0</v>
      </c>
      <c r="E41" s="2" t="s">
        <v>2</v>
      </c>
      <c r="F41" s="2" t="s">
        <v>5</v>
      </c>
    </row>
    <row r="42" spans="3:6" x14ac:dyDescent="0.3">
      <c r="C42" s="2" t="s">
        <v>73</v>
      </c>
      <c r="D42" s="2">
        <f>DEGREES(ATAN(D26/(D29-D37)))</f>
        <v>16.82114488332024</v>
      </c>
      <c r="E42" s="2" t="s">
        <v>1</v>
      </c>
      <c r="F42" s="2" t="s">
        <v>74</v>
      </c>
    </row>
    <row r="43" spans="3:6" x14ac:dyDescent="0.3">
      <c r="C43" s="2" t="s">
        <v>75</v>
      </c>
      <c r="D43" s="2">
        <f>-DEGREES(ATAN((D28 - D36)/(D29-D37)))</f>
        <v>9.5366656729775681</v>
      </c>
      <c r="E43" s="2" t="s">
        <v>1</v>
      </c>
      <c r="F43" s="2" t="s">
        <v>76</v>
      </c>
    </row>
    <row r="44" spans="3:6" x14ac:dyDescent="0.3">
      <c r="C44" s="2" t="s">
        <v>78</v>
      </c>
      <c r="D44" s="1">
        <f>(D28-D5)*(D37-D8)-(D29-D6)*(D36-D7)</f>
        <v>-245.65128126423224</v>
      </c>
      <c r="E44" s="2" t="s">
        <v>21</v>
      </c>
      <c r="F44" s="2" t="s">
        <v>80</v>
      </c>
    </row>
    <row r="45" spans="3:6" x14ac:dyDescent="0.3">
      <c r="C45" s="2" t="s">
        <v>77</v>
      </c>
      <c r="D45" s="1">
        <f>(D5 + ((D7-D5)*(D37-D8)-(D8-D6)*(D36-D7))/D44*(D28-D5))</f>
        <v>-7242.6055522764491</v>
      </c>
      <c r="E45" s="2" t="s">
        <v>21</v>
      </c>
      <c r="F45" s="2" t="s">
        <v>81</v>
      </c>
    </row>
    <row r="46" spans="3:6" x14ac:dyDescent="0.3">
      <c r="C46" s="2" t="s">
        <v>79</v>
      </c>
      <c r="D46" s="1">
        <f>(D6 + ((D7-D5)*(D37-D8)-(D8-D6)*(D36-D7))/D45*(D29-D6))</f>
        <v>56.086993725653031</v>
      </c>
      <c r="E46" s="2" t="s">
        <v>21</v>
      </c>
      <c r="F46" s="2" t="s">
        <v>82</v>
      </c>
    </row>
  </sheetData>
  <mergeCells count="3">
    <mergeCell ref="C3:F3"/>
    <mergeCell ref="C18:F18"/>
    <mergeCell ref="C40:F40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Shareef Sayeed</dc:creator>
  <cp:lastModifiedBy>Shareef Sayeed</cp:lastModifiedBy>
  <dcterms:created xsi:type="dcterms:W3CDTF">2026-05-26T23:56:16Z</dcterms:created>
  <dcterms:modified xsi:type="dcterms:W3CDTF">2026-06-09T00:20:47Z</dcterms:modified>
</cp:coreProperties>
</file>