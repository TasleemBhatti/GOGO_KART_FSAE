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 Ahmad\Desktop\FSAE- Summer 2026 Project\FSAE CAD\GOGO_KART_FSAE\"/>
    </mc:Choice>
  </mc:AlternateContent>
  <xr:revisionPtr revIDLastSave="0" documentId="8_{B1EA1630-676F-41C8-82E1-0089C181A68A}" xr6:coauthVersionLast="47" xr6:coauthVersionMax="47" xr10:uidLastSave="{00000000-0000-0000-0000-000000000000}"/>
  <bookViews>
    <workbookView xWindow="-108" yWindow="-108" windowWidth="23256" windowHeight="13896" xr2:uid="{AED26AE4-9461-40C8-BDA4-215D949A6AE6}"/>
  </bookViews>
  <sheets>
    <sheet name="Sprocket" sheetId="1" r:id="rId1"/>
    <sheet name="Roller Chain" sheetId="2" r:id="rId2"/>
    <sheet name="Tension Calcula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9" i="1" l="1"/>
  <c r="F18" i="1"/>
  <c r="F17" i="1"/>
  <c r="F16" i="1"/>
  <c r="F15" i="1"/>
  <c r="F14" i="1"/>
  <c r="F13" i="1"/>
  <c r="F12" i="1"/>
  <c r="F10" i="1"/>
</calcChain>
</file>

<file path=xl/sharedStrings.xml><?xml version="1.0" encoding="utf-8"?>
<sst xmlns="http://schemas.openxmlformats.org/spreadsheetml/2006/main" count="115" uniqueCount="92">
  <si>
    <t>Sprocket Parameters</t>
  </si>
  <si>
    <t>Unit</t>
  </si>
  <si>
    <t>Description</t>
  </si>
  <si>
    <t>D_p</t>
  </si>
  <si>
    <t>d_r</t>
  </si>
  <si>
    <t>SC</t>
  </si>
  <si>
    <t>b_s</t>
  </si>
  <si>
    <t>D_s</t>
  </si>
  <si>
    <t>r_a</t>
  </si>
  <si>
    <t>D_f</t>
  </si>
  <si>
    <t>k</t>
  </si>
  <si>
    <t>P_t</t>
  </si>
  <si>
    <t>b_f</t>
  </si>
  <si>
    <t>b_a</t>
  </si>
  <si>
    <t>r_x</t>
  </si>
  <si>
    <t>r_e</t>
  </si>
  <si>
    <t>r_i</t>
  </si>
  <si>
    <t>alpha</t>
  </si>
  <si>
    <t>count</t>
  </si>
  <si>
    <t>mm</t>
  </si>
  <si>
    <t>Power ratio</t>
  </si>
  <si>
    <t>D_g</t>
  </si>
  <si>
    <t>Inertia moment</t>
  </si>
  <si>
    <t>M_R</t>
  </si>
  <si>
    <t>deg</t>
  </si>
  <si>
    <t>Value</t>
  </si>
  <si>
    <t>Count</t>
  </si>
  <si>
    <t>Term in Inventor</t>
  </si>
  <si>
    <t>Term- Understandable</t>
  </si>
  <si>
    <t>kg m^2</t>
  </si>
  <si>
    <t>Pitch Diameter</t>
  </si>
  <si>
    <t>Roller Diameter</t>
  </si>
  <si>
    <t>Tooth root diameter</t>
  </si>
  <si>
    <t>Transverse Pitch</t>
  </si>
  <si>
    <t>z1</t>
  </si>
  <si>
    <t>Sprocket Width</t>
  </si>
  <si>
    <t>Pitch Diameter- Driven Sprocket</t>
  </si>
  <si>
    <t>Addendum radius</t>
  </si>
  <si>
    <t>Number of chain links</t>
  </si>
  <si>
    <t>Tooth width at Pitch Circle</t>
  </si>
  <si>
    <t>Flank Radius</t>
  </si>
  <si>
    <t>Seating Curve Radius</t>
  </si>
  <si>
    <t>Inner tooth radius</t>
  </si>
  <si>
    <t>Wrap angle</t>
  </si>
  <si>
    <t>Center distance</t>
  </si>
  <si>
    <t>Mass moment of Inertia</t>
  </si>
  <si>
    <t>Resistant Torque</t>
  </si>
  <si>
    <t>Teeth- Drive Sprocket</t>
  </si>
  <si>
    <t>Teeth- Driven Sprocket</t>
  </si>
  <si>
    <t>z2</t>
  </si>
  <si>
    <t># of teeth on drive sprocket</t>
  </si>
  <si>
    <t># of teeth on driven sprocket</t>
  </si>
  <si>
    <t>p</t>
  </si>
  <si>
    <t>Chain pitch</t>
  </si>
  <si>
    <t>Center Distance</t>
  </si>
  <si>
    <t>C</t>
  </si>
  <si>
    <t>Speed</t>
  </si>
  <si>
    <t>RPM</t>
  </si>
  <si>
    <t>Diameter of the driving sprocket based on chain pitch and number of teeth</t>
  </si>
  <si>
    <t>Diameter of the chain roller</t>
  </si>
  <si>
    <t>Inner width of the chain link (affects sprocket tooth width)</t>
  </si>
  <si>
    <t>Same as D_p but for the driven/output sprocket</t>
  </si>
  <si>
    <t>Radius of the sprocket tooth tip (addendum circle)</t>
  </si>
  <si>
    <t>Diameter at the base of the sprocket teeth (root circle)</t>
  </si>
  <si>
    <t>Total number of links in the chain loop</t>
  </si>
  <si>
    <t>Usable tooth face width on the sprocket</t>
  </si>
  <si>
    <t>Face Width</t>
  </si>
  <si>
    <t>Width of the tooth measured at the pitch circle</t>
  </si>
  <si>
    <t>Radius of the concave flank of the sprocket tooth</t>
  </si>
  <si>
    <t>Radius of the seating (bottom) curve that cradles the roller</t>
  </si>
  <si>
    <t>Inner fillet radius at the root of the tooth</t>
  </si>
  <si>
    <t>Angle of wrap of the chain on the sprocket; affects chain tension and slip</t>
  </si>
  <si>
    <t>Ratio of design power to rated chain power; must be ≤ 1 for safe design</t>
  </si>
  <si>
    <t>Distance between the centers of the two sprocket shafts</t>
  </si>
  <si>
    <t>Rotational inertia of the sprocket — relevant for dynamic/start-stop loads</t>
  </si>
  <si>
    <t>Load/resistance torque on the driven sprocket</t>
  </si>
  <si>
    <t>Distance between inner link plates (row spacing on multi-strand chain)</t>
  </si>
  <si>
    <t>Sprocket center distance</t>
  </si>
  <si>
    <t>Center to center distance between two sprockets</t>
  </si>
  <si>
    <t>Addendum Diameter- Drive Sprocket</t>
  </si>
  <si>
    <t>Addendum Diameter- Driven Sprocket</t>
  </si>
  <si>
    <t>D_a1</t>
  </si>
  <si>
    <t>Outer diameter of the Drive sprocket (tip circle)</t>
  </si>
  <si>
    <t>Outer diameter of the Driven sprocket (tip circle)</t>
  </si>
  <si>
    <t>D_a2</t>
  </si>
  <si>
    <t>Tooth height- Drive Sprocket</t>
  </si>
  <si>
    <t>Tooth height- Driven Sprocket</t>
  </si>
  <si>
    <t>h_a2</t>
  </si>
  <si>
    <t>h_a1</t>
  </si>
  <si>
    <t>Height of the Drive sprocket tooth above the pitch circle</t>
  </si>
  <si>
    <t>Height of the Driven sprocket tooth above the pitch circle</t>
  </si>
  <si>
    <t>dis is some jokes 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</si>
</sst>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304800</xdr:colOff>
      <xdr:row>11</xdr:row>
      <xdr:rowOff>22860</xdr:rowOff>
    </xdr:from>
    <xdr:to>
      <xdr:col>11</xdr:col>
      <xdr:colOff>552910</xdr:colOff>
      <xdr:row>23</xdr:row>
      <xdr:rowOff>105093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47803F-1161-0EC1-2C4A-57AC5021D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71260" y="1303020"/>
          <a:ext cx="3296110" cy="2276793"/>
        </a:xfrm>
        <a:prstGeom prst="rect">
          <a:avLst/>
        </a:prstGeom>
      </xdr:spPr>
    </xdr:pic>
    <xdr:clientData/>
  </xdr:twoCellAnchor>
  <xdr:twoCellAnchor editAs="oneCell">
    <xdr:from>
      <xdr:col>6</xdr:col>
      <xdr:colOff>320039</xdr:colOff>
      <xdr:row>26</xdr:row>
      <xdr:rowOff>7620</xdr:rowOff>
    </xdr:from>
    <xdr:to>
      <xdr:col>11</xdr:col>
      <xdr:colOff>19114</xdr:colOff>
      <xdr:row>38</xdr:row>
      <xdr:rowOff>91440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BC2D9A-8E1F-1602-220A-CE6C4DBB9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499" y="3665220"/>
          <a:ext cx="2747075" cy="2278380"/>
        </a:xfrm>
        <a:prstGeom prst="rect">
          <a:avLst/>
        </a:prstGeom>
      </xdr:spPr>
    </xdr:pic>
    <xdr:clientData/>
  </xdr:twoCellAnchor>
  <xdr:twoCellAnchor editAs="oneCell">
    <xdr:from>
      <xdr:col>11</xdr:col>
      <xdr:colOff>99060</xdr:colOff>
      <xdr:row>26</xdr:row>
      <xdr:rowOff>27358</xdr:rowOff>
    </xdr:from>
    <xdr:to>
      <xdr:col>15</xdr:col>
      <xdr:colOff>63138</xdr:colOff>
      <xdr:row>38</xdr:row>
      <xdr:rowOff>129801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05E44F-38C5-BBF7-943F-CE6A9DAFA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13520" y="3684958"/>
          <a:ext cx="2402478" cy="22970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59E02-6524-4795-980F-EFB2F2FB9DCB}">
  <dimension ref="A1:F33"/>
  <sheetViews>
    <sheetView tabSelected="1" workbookViewId="0">
      <selection activeCell="D2" sqref="D2"/>
    </sheetView>
  </sheetViews>
  <sheetFormatPr defaultRowHeight="14.4" x14ac:dyDescent="0.3"/>
  <cols>
    <col min="1" max="1" width="18.109375" bestFit="1" customWidth="1"/>
    <col min="2" max="2" width="30.5546875" bestFit="1" customWidth="1"/>
    <col min="3" max="3" width="21.109375" bestFit="1" customWidth="1"/>
    <col min="5" max="5" width="60.33203125" bestFit="1" customWidth="1"/>
  </cols>
  <sheetData>
    <row r="1" spans="1:6" x14ac:dyDescent="0.3">
      <c r="A1" t="s">
        <v>0</v>
      </c>
      <c r="C1" t="s">
        <v>91</v>
      </c>
    </row>
    <row r="3" spans="1:6" x14ac:dyDescent="0.3">
      <c r="B3" t="s">
        <v>28</v>
      </c>
      <c r="C3" t="s">
        <v>27</v>
      </c>
      <c r="D3" t="s">
        <v>1</v>
      </c>
      <c r="E3" t="s">
        <v>2</v>
      </c>
      <c r="F3" t="s">
        <v>25</v>
      </c>
    </row>
    <row r="4" spans="1:6" x14ac:dyDescent="0.3">
      <c r="B4" t="s">
        <v>47</v>
      </c>
      <c r="C4" t="s">
        <v>34</v>
      </c>
      <c r="D4" t="s">
        <v>18</v>
      </c>
      <c r="E4" s="2" t="s">
        <v>50</v>
      </c>
    </row>
    <row r="5" spans="1:6" x14ac:dyDescent="0.3">
      <c r="B5" t="s">
        <v>48</v>
      </c>
      <c r="C5" t="s">
        <v>49</v>
      </c>
      <c r="D5" t="s">
        <v>18</v>
      </c>
      <c r="E5" s="2" t="s">
        <v>51</v>
      </c>
    </row>
    <row r="6" spans="1:6" x14ac:dyDescent="0.3">
      <c r="B6" t="s">
        <v>53</v>
      </c>
      <c r="C6" t="s">
        <v>52</v>
      </c>
      <c r="D6" t="s">
        <v>19</v>
      </c>
      <c r="E6" s="2"/>
    </row>
    <row r="7" spans="1:6" x14ac:dyDescent="0.3">
      <c r="B7" t="s">
        <v>54</v>
      </c>
      <c r="C7" t="s">
        <v>55</v>
      </c>
      <c r="D7" t="s">
        <v>19</v>
      </c>
      <c r="E7" s="2"/>
    </row>
    <row r="8" spans="1:6" x14ac:dyDescent="0.3">
      <c r="B8" t="s">
        <v>38</v>
      </c>
      <c r="C8" t="s">
        <v>56</v>
      </c>
      <c r="D8" t="s">
        <v>57</v>
      </c>
      <c r="E8" s="2"/>
    </row>
    <row r="9" spans="1:6" x14ac:dyDescent="0.3">
      <c r="B9" t="s">
        <v>30</v>
      </c>
      <c r="C9" t="s">
        <v>3</v>
      </c>
      <c r="D9" t="s">
        <v>19</v>
      </c>
      <c r="E9" s="2" t="s">
        <v>58</v>
      </c>
    </row>
    <row r="10" spans="1:6" x14ac:dyDescent="0.3">
      <c r="B10" t="s">
        <v>31</v>
      </c>
      <c r="C10" t="s">
        <v>4</v>
      </c>
      <c r="D10" t="s">
        <v>19</v>
      </c>
      <c r="E10" s="2" t="s">
        <v>59</v>
      </c>
      <c r="F10" t="e">
        <f>F6/(SIN(PI()/F4))</f>
        <v>#DIV/0!</v>
      </c>
    </row>
    <row r="11" spans="1:6" x14ac:dyDescent="0.3">
      <c r="B11" s="1" t="s">
        <v>77</v>
      </c>
      <c r="C11" t="s">
        <v>5</v>
      </c>
      <c r="D11" t="s">
        <v>19</v>
      </c>
      <c r="E11" s="2" t="s">
        <v>78</v>
      </c>
    </row>
    <row r="12" spans="1:6" x14ac:dyDescent="0.3">
      <c r="B12" t="s">
        <v>35</v>
      </c>
      <c r="C12" t="s">
        <v>6</v>
      </c>
      <c r="D12" t="s">
        <v>19</v>
      </c>
      <c r="E12" s="2" t="s">
        <v>60</v>
      </c>
      <c r="F12">
        <f>F29</f>
        <v>0</v>
      </c>
    </row>
    <row r="13" spans="1:6" x14ac:dyDescent="0.3">
      <c r="B13" t="s">
        <v>36</v>
      </c>
      <c r="C13" t="s">
        <v>7</v>
      </c>
      <c r="D13" t="s">
        <v>19</v>
      </c>
      <c r="E13" s="2" t="s">
        <v>61</v>
      </c>
      <c r="F13" t="e">
        <f>F6/SIN(PI()/F5)</f>
        <v>#DIV/0!</v>
      </c>
    </row>
    <row r="14" spans="1:6" x14ac:dyDescent="0.3">
      <c r="B14" t="s">
        <v>37</v>
      </c>
      <c r="C14" t="s">
        <v>8</v>
      </c>
      <c r="D14" t="s">
        <v>19</v>
      </c>
      <c r="E14" s="2" t="s">
        <v>62</v>
      </c>
      <c r="F14">
        <f>G14/2</f>
        <v>0</v>
      </c>
    </row>
    <row r="15" spans="1:6" x14ac:dyDescent="0.3">
      <c r="B15" t="s">
        <v>79</v>
      </c>
      <c r="C15" t="s">
        <v>81</v>
      </c>
      <c r="D15" t="s">
        <v>19</v>
      </c>
      <c r="E15" s="2" t="s">
        <v>82</v>
      </c>
      <c r="F15" t="e">
        <f>F6*(0.6+_xlfn.COT(PI()/F4))</f>
        <v>#DIV/0!</v>
      </c>
    </row>
    <row r="16" spans="1:6" x14ac:dyDescent="0.3">
      <c r="B16" t="s">
        <v>80</v>
      </c>
      <c r="C16" t="s">
        <v>84</v>
      </c>
      <c r="D16" t="s">
        <v>19</v>
      </c>
      <c r="E16" s="2" t="s">
        <v>83</v>
      </c>
      <c r="F16" t="e">
        <f>F6*(0.6+_xlfn.COT(PI()/F5))</f>
        <v>#DIV/0!</v>
      </c>
    </row>
    <row r="17" spans="2:6" x14ac:dyDescent="0.3">
      <c r="B17" t="s">
        <v>32</v>
      </c>
      <c r="C17" t="s">
        <v>9</v>
      </c>
      <c r="D17" t="s">
        <v>19</v>
      </c>
      <c r="E17" s="2" t="s">
        <v>63</v>
      </c>
      <c r="F17" t="e">
        <f>F9-F10</f>
        <v>#DIV/0!</v>
      </c>
    </row>
    <row r="18" spans="2:6" x14ac:dyDescent="0.3">
      <c r="B18" t="s">
        <v>38</v>
      </c>
      <c r="C18" t="s">
        <v>10</v>
      </c>
      <c r="D18" t="s">
        <v>18</v>
      </c>
      <c r="E18" s="2" t="s">
        <v>64</v>
      </c>
      <c r="F18" t="e">
        <f>(2*F11/F6)+(F4+F5)/2+(((F5-F4)/(_xleta.PI*2))^2)*(F6/F11)</f>
        <v>#DIV/0!</v>
      </c>
    </row>
    <row r="19" spans="2:6" x14ac:dyDescent="0.3">
      <c r="B19" t="s">
        <v>33</v>
      </c>
      <c r="C19" t="s">
        <v>11</v>
      </c>
      <c r="D19" t="s">
        <v>19</v>
      </c>
      <c r="E19" s="2" t="s">
        <v>76</v>
      </c>
      <c r="F19">
        <f>F6*COS(30)</f>
        <v>0</v>
      </c>
    </row>
    <row r="20" spans="2:6" x14ac:dyDescent="0.3">
      <c r="B20" t="s">
        <v>66</v>
      </c>
      <c r="C20" t="s">
        <v>12</v>
      </c>
      <c r="D20" t="s">
        <v>19</v>
      </c>
      <c r="E20" s="2" t="s">
        <v>65</v>
      </c>
    </row>
    <row r="21" spans="2:6" x14ac:dyDescent="0.3">
      <c r="B21" t="s">
        <v>85</v>
      </c>
      <c r="C21" t="s">
        <v>88</v>
      </c>
      <c r="D21" t="s">
        <v>19</v>
      </c>
      <c r="E21" s="2" t="s">
        <v>89</v>
      </c>
    </row>
    <row r="22" spans="2:6" x14ac:dyDescent="0.3">
      <c r="B22" t="s">
        <v>86</v>
      </c>
      <c r="C22" t="s">
        <v>87</v>
      </c>
      <c r="D22" t="s">
        <v>19</v>
      </c>
      <c r="E22" s="2" t="s">
        <v>90</v>
      </c>
    </row>
    <row r="23" spans="2:6" x14ac:dyDescent="0.3">
      <c r="B23" t="s">
        <v>39</v>
      </c>
      <c r="C23" t="s">
        <v>13</v>
      </c>
      <c r="D23" t="s">
        <v>19</v>
      </c>
      <c r="E23" s="2" t="s">
        <v>67</v>
      </c>
    </row>
    <row r="24" spans="2:6" x14ac:dyDescent="0.3">
      <c r="B24" t="s">
        <v>40</v>
      </c>
      <c r="C24" t="s">
        <v>14</v>
      </c>
      <c r="D24" t="s">
        <v>19</v>
      </c>
      <c r="E24" s="2" t="s">
        <v>68</v>
      </c>
    </row>
    <row r="25" spans="2:6" x14ac:dyDescent="0.3">
      <c r="B25" t="s">
        <v>41</v>
      </c>
      <c r="C25" t="s">
        <v>15</v>
      </c>
      <c r="D25" t="s">
        <v>19</v>
      </c>
      <c r="E25" s="2" t="s">
        <v>69</v>
      </c>
    </row>
    <row r="26" spans="2:6" x14ac:dyDescent="0.3">
      <c r="B26" t="s">
        <v>42</v>
      </c>
      <c r="C26" t="s">
        <v>16</v>
      </c>
      <c r="D26" t="s">
        <v>19</v>
      </c>
      <c r="E26" s="2" t="s">
        <v>70</v>
      </c>
    </row>
    <row r="27" spans="2:6" x14ac:dyDescent="0.3">
      <c r="B27" t="s">
        <v>43</v>
      </c>
      <c r="C27" t="s">
        <v>17</v>
      </c>
      <c r="D27" t="s">
        <v>24</v>
      </c>
      <c r="E27" s="2" t="s">
        <v>71</v>
      </c>
    </row>
    <row r="28" spans="2:6" x14ac:dyDescent="0.3">
      <c r="C28" t="s">
        <v>20</v>
      </c>
      <c r="D28" t="s">
        <v>26</v>
      </c>
      <c r="E28" s="2" t="s">
        <v>72</v>
      </c>
    </row>
    <row r="29" spans="2:6" x14ac:dyDescent="0.3">
      <c r="B29" t="s">
        <v>44</v>
      </c>
      <c r="C29" t="s">
        <v>21</v>
      </c>
      <c r="D29" t="s">
        <v>19</v>
      </c>
      <c r="E29" s="2" t="s">
        <v>73</v>
      </c>
    </row>
    <row r="30" spans="2:6" x14ac:dyDescent="0.3">
      <c r="B30" t="s">
        <v>45</v>
      </c>
      <c r="C30" t="s">
        <v>22</v>
      </c>
      <c r="D30" t="s">
        <v>29</v>
      </c>
      <c r="E30" s="2" t="s">
        <v>74</v>
      </c>
    </row>
    <row r="31" spans="2:6" x14ac:dyDescent="0.3">
      <c r="B31" t="s">
        <v>46</v>
      </c>
      <c r="C31" t="s">
        <v>23</v>
      </c>
      <c r="D31" t="s">
        <v>19</v>
      </c>
      <c r="E31" s="2" t="s">
        <v>75</v>
      </c>
    </row>
    <row r="32" spans="2:6" x14ac:dyDescent="0.3">
      <c r="E32" s="2"/>
    </row>
    <row r="33" spans="5:5" x14ac:dyDescent="0.3">
      <c r="E33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80FAA-E267-4878-8F72-795D4A75D382}">
  <dimension ref="A1"/>
  <sheetViews>
    <sheetView workbookViewId="0">
      <selection activeCell="D25" sqref="D25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2842-F6FB-40C0-8CDE-0FB6DFE0CC90}">
  <dimension ref="A1"/>
  <sheetViews>
    <sheetView workbookViewId="0">
      <selection activeCell="G25" sqref="G2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Sprocket</vt:lpstr>
      <vt:lpstr>Roller Chain</vt:lpstr>
      <vt:lpstr>Tension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Ahmad, Waqas</dc:creator>
  <cp:lastModifiedBy>Ahmad, Waqas</cp:lastModifiedBy>
  <dcterms:created xsi:type="dcterms:W3CDTF">2026-06-06T16:42:03Z</dcterms:created>
  <dcterms:modified xsi:type="dcterms:W3CDTF">2026-06-06T18:09:03Z</dcterms:modified>
</cp:coreProperties>
</file>